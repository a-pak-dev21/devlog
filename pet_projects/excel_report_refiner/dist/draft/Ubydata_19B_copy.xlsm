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ento_sešit"/>
  <mc:AlternateContent xmlns:mc="http://schemas.openxmlformats.org/markup-compatibility/2006">
    <mc:Choice Requires="x15">
      <x15ac:absPath xmlns:x15ac="http://schemas.microsoft.com/office/spreadsheetml/2010/11/ac" url="O:\130-recepce\recepce\artem\"/>
    </mc:Choice>
  </mc:AlternateContent>
  <xr:revisionPtr revIDLastSave="0" documentId="13_ncr:b_{1562B229-0D8B-48D5-981C-FB2EC0CCE6C5}" xr6:coauthVersionLast="47" xr6:coauthVersionMax="47" xr10:uidLastSave="{00000000-0000-0000-0000-000000000000}"/>
  <bookViews>
    <workbookView xWindow="-120" yWindow="-120" windowWidth="29040" windowHeight="15840" xr2:uid="{255B8962-9D51-4250-8303-55FF5C9E1B74}"/>
  </bookViews>
  <sheets>
    <sheet name="Ubytovatel" sheetId="3" r:id="rId1"/>
    <sheet name="Seznam" sheetId="1" r:id="rId2"/>
    <sheet name="STP" sheetId="2" r:id="rId3"/>
    <sheet name="UcelPobytu" sheetId="4" r:id="rId4"/>
  </sheets>
  <functionGroups builtInGroupCount="19"/>
  <definedNames>
    <definedName name="_xlnm._FilterDatabase" localSheetId="1" hidden="1">Seznam!$A$1:$P$1</definedName>
    <definedName name="cd">Ubytovatel!$D$20</definedName>
    <definedName name="cob">Ubytovatel!$D$16</definedName>
    <definedName name="cor">Ubytovatel!$D$22</definedName>
    <definedName name="crtime">Ubytovatel!$B$44</definedName>
    <definedName name="crtimecopy">Ubytovatel!$D$32</definedName>
    <definedName name="dfltpath">Ubytovatel!$B$41</definedName>
    <definedName name="dfltpathi">Ubytovatel!$B$42</definedName>
    <definedName name="idub">Ubytovatel!$D$4</definedName>
    <definedName name="ifname">Ubytovatel!$B$43</definedName>
    <definedName name="ifnamecopy">Ubytovatel!$D$30</definedName>
    <definedName name="kontakt">Ubytovatel!$D$10</definedName>
    <definedName name="ob">Ubytovatel!$D$14</definedName>
    <definedName name="obdobi_do">Ubytovatel!$D$28</definedName>
    <definedName name="obdobi_od">Ubytovatel!$D$26</definedName>
    <definedName name="okr">Ubytovatel!$D$12</definedName>
    <definedName name="psc">Ubytovatel!$D$24</definedName>
    <definedName name="uby">Ubytovatel!$D$8</definedName>
    <definedName name="uli">Ubytovatel!$D$18</definedName>
    <definedName name="zkratka">Ubytovatel!$D$6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4" l="1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D1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30" i="3"/>
  <c r="D32" i="3"/>
  <c r="E22" i="3"/>
  <c r="E20" i="3"/>
  <c r="E4" i="3"/>
</calcChain>
</file>

<file path=xl/sharedStrings.xml><?xml version="1.0" encoding="utf-8"?>
<sst xmlns="http://schemas.openxmlformats.org/spreadsheetml/2006/main" count="1500" uniqueCount="888">
  <si>
    <t>ALB</t>
  </si>
  <si>
    <t>DZA</t>
  </si>
  <si>
    <t>AND</t>
  </si>
  <si>
    <t>AGO</t>
  </si>
  <si>
    <t>ARG</t>
  </si>
  <si>
    <t>ARM</t>
  </si>
  <si>
    <t>AUS</t>
  </si>
  <si>
    <t>AZE</t>
  </si>
  <si>
    <t>BHS</t>
  </si>
  <si>
    <t>BHR</t>
  </si>
  <si>
    <t>BRN</t>
  </si>
  <si>
    <t>BRB</t>
  </si>
  <si>
    <t>BEL</t>
  </si>
  <si>
    <t>BLR</t>
  </si>
  <si>
    <t>BEN</t>
  </si>
  <si>
    <t>BOL</t>
  </si>
  <si>
    <t>BIH</t>
  </si>
  <si>
    <t>BWA</t>
  </si>
  <si>
    <t>BRA</t>
  </si>
  <si>
    <t>BGR</t>
  </si>
  <si>
    <t>BFA</t>
  </si>
  <si>
    <t>BDI</t>
  </si>
  <si>
    <t>TCD</t>
  </si>
  <si>
    <t>DNK</t>
  </si>
  <si>
    <t>DMA</t>
  </si>
  <si>
    <t>EGY</t>
  </si>
  <si>
    <t>ECU</t>
  </si>
  <si>
    <t>EST</t>
  </si>
  <si>
    <t>ETH</t>
  </si>
  <si>
    <t>FRO</t>
  </si>
  <si>
    <t>FJI</t>
  </si>
  <si>
    <t>PHL</t>
  </si>
  <si>
    <t>FIN</t>
  </si>
  <si>
    <t>GAB</t>
  </si>
  <si>
    <t>GMB</t>
  </si>
  <si>
    <t>GHA</t>
  </si>
  <si>
    <t>GRD</t>
  </si>
  <si>
    <t>GEO</t>
  </si>
  <si>
    <t>GTM</t>
  </si>
  <si>
    <t>HTI</t>
  </si>
  <si>
    <t>HND</t>
  </si>
  <si>
    <t>HKG</t>
  </si>
  <si>
    <t>CHL</t>
  </si>
  <si>
    <t>HRV</t>
  </si>
  <si>
    <t>IDN</t>
  </si>
  <si>
    <t>IRQ</t>
  </si>
  <si>
    <t>IRN</t>
  </si>
  <si>
    <t>IRL</t>
  </si>
  <si>
    <t>ISL</t>
  </si>
  <si>
    <t>ITA</t>
  </si>
  <si>
    <t>ISR</t>
  </si>
  <si>
    <t>JAM</t>
  </si>
  <si>
    <t>YEM</t>
  </si>
  <si>
    <t>ZAF</t>
  </si>
  <si>
    <t>KHM</t>
  </si>
  <si>
    <t>CMR</t>
  </si>
  <si>
    <t>CAN</t>
  </si>
  <si>
    <t>KAZ</t>
  </si>
  <si>
    <t>KEN</t>
  </si>
  <si>
    <t>COL</t>
  </si>
  <si>
    <t>COD</t>
  </si>
  <si>
    <t>MCO</t>
  </si>
  <si>
    <t>CAF</t>
  </si>
  <si>
    <t>SDN</t>
  </si>
  <si>
    <t>SUR</t>
  </si>
  <si>
    <t>LCA</t>
  </si>
  <si>
    <t>AFG</t>
  </si>
  <si>
    <t>BGD</t>
  </si>
  <si>
    <t>QAT</t>
  </si>
  <si>
    <t>LVA</t>
  </si>
  <si>
    <t>SOM</t>
  </si>
  <si>
    <t>KOR</t>
  </si>
  <si>
    <t>CRI</t>
  </si>
  <si>
    <t>CUB</t>
  </si>
  <si>
    <t>KWT</t>
  </si>
  <si>
    <t>CYP</t>
  </si>
  <si>
    <t>KGZ</t>
  </si>
  <si>
    <t>LAO</t>
  </si>
  <si>
    <t>LSO</t>
  </si>
  <si>
    <t>LBN</t>
  </si>
  <si>
    <t>LBR</t>
  </si>
  <si>
    <t>LBY</t>
  </si>
  <si>
    <t>LIE</t>
  </si>
  <si>
    <t>LTU</t>
  </si>
  <si>
    <t>LUX</t>
  </si>
  <si>
    <t>MDG</t>
  </si>
  <si>
    <t>HUN</t>
  </si>
  <si>
    <t>MKD</t>
  </si>
  <si>
    <t>MYS</t>
  </si>
  <si>
    <t>MWI</t>
  </si>
  <si>
    <t>MDV</t>
  </si>
  <si>
    <t>MLI</t>
  </si>
  <si>
    <t>MLT</t>
  </si>
  <si>
    <t>MAR</t>
  </si>
  <si>
    <t>MUS</t>
  </si>
  <si>
    <t>MRT</t>
  </si>
  <si>
    <t>MEX</t>
  </si>
  <si>
    <t>MDA</t>
  </si>
  <si>
    <t>MNG</t>
  </si>
  <si>
    <t>MOZ</t>
  </si>
  <si>
    <t>NAM</t>
  </si>
  <si>
    <t>DEU</t>
  </si>
  <si>
    <t>NPL</t>
  </si>
  <si>
    <t>NER</t>
  </si>
  <si>
    <t>NGA</t>
  </si>
  <si>
    <t>NIC</t>
  </si>
  <si>
    <t>NLD</t>
  </si>
  <si>
    <t>NOR</t>
  </si>
  <si>
    <t>NZL</t>
  </si>
  <si>
    <t>OMN</t>
  </si>
  <si>
    <t>PAK</t>
  </si>
  <si>
    <t>PAN</t>
  </si>
  <si>
    <t>PRY</t>
  </si>
  <si>
    <t>PER</t>
  </si>
  <si>
    <t>CIV</t>
  </si>
  <si>
    <t>POL</t>
  </si>
  <si>
    <t>PRT</t>
  </si>
  <si>
    <t>AUT</t>
  </si>
  <si>
    <t>RWA</t>
  </si>
  <si>
    <t>GRC</t>
  </si>
  <si>
    <t>SLV</t>
  </si>
  <si>
    <t>WSM</t>
  </si>
  <si>
    <t>SMR</t>
  </si>
  <si>
    <t>SEN</t>
  </si>
  <si>
    <t>SYC</t>
  </si>
  <si>
    <t>SLE</t>
  </si>
  <si>
    <t>SGP</t>
  </si>
  <si>
    <t>SVK</t>
  </si>
  <si>
    <t>SVN</t>
  </si>
  <si>
    <t>GBR</t>
  </si>
  <si>
    <t>USA</t>
  </si>
  <si>
    <t>LKA</t>
  </si>
  <si>
    <t>DOM</t>
  </si>
  <si>
    <t>FRA</t>
  </si>
  <si>
    <t>GIB</t>
  </si>
  <si>
    <t>GUY</t>
  </si>
  <si>
    <t>IND</t>
  </si>
  <si>
    <t>JPN</t>
  </si>
  <si>
    <t>JOR</t>
  </si>
  <si>
    <t>ANT</t>
  </si>
  <si>
    <t>PNG</t>
  </si>
  <si>
    <t>RUS</t>
  </si>
  <si>
    <t>SAU</t>
  </si>
  <si>
    <t>ARE</t>
  </si>
  <si>
    <t>VAT</t>
  </si>
  <si>
    <t>VCT</t>
  </si>
  <si>
    <t>SWZ</t>
  </si>
  <si>
    <t>SYR</t>
  </si>
  <si>
    <t>ESP</t>
  </si>
  <si>
    <t>SWE</t>
  </si>
  <si>
    <t>CHE</t>
  </si>
  <si>
    <t>TJK</t>
  </si>
  <si>
    <t>TZA</t>
  </si>
  <si>
    <t>THA</t>
  </si>
  <si>
    <t>TWN</t>
  </si>
  <si>
    <t>TGO</t>
  </si>
  <si>
    <t>TTO</t>
  </si>
  <si>
    <t>TUN</t>
  </si>
  <si>
    <t>TUR</t>
  </si>
  <si>
    <t>TKM</t>
  </si>
  <si>
    <t>UGA</t>
  </si>
  <si>
    <t>UKR</t>
  </si>
  <si>
    <t>URY</t>
  </si>
  <si>
    <t>UZB</t>
  </si>
  <si>
    <t>VEN</t>
  </si>
  <si>
    <t>VNM</t>
  </si>
  <si>
    <t>ZMB</t>
  </si>
  <si>
    <t>ZWE</t>
  </si>
  <si>
    <t>IMY</t>
  </si>
  <si>
    <t>XGG</t>
  </si>
  <si>
    <t>XJE</t>
  </si>
  <si>
    <t>ASM</t>
  </si>
  <si>
    <t>VIR</t>
  </si>
  <si>
    <t>AIA</t>
  </si>
  <si>
    <t>ATA</t>
  </si>
  <si>
    <t>ATG</t>
  </si>
  <si>
    <t>ABW</t>
  </si>
  <si>
    <t>BLZ</t>
  </si>
  <si>
    <t>BMU</t>
  </si>
  <si>
    <t>BTN</t>
  </si>
  <si>
    <t>BVT</t>
  </si>
  <si>
    <t>IOT</t>
  </si>
  <si>
    <t>COK</t>
  </si>
  <si>
    <t>CHN</t>
  </si>
  <si>
    <t>DJI</t>
  </si>
  <si>
    <t>ERI</t>
  </si>
  <si>
    <t>FLK</t>
  </si>
  <si>
    <t>ATF</t>
  </si>
  <si>
    <t>PYF</t>
  </si>
  <si>
    <t>GUM</t>
  </si>
  <si>
    <t>GIN</t>
  </si>
  <si>
    <t>GNB</t>
  </si>
  <si>
    <t>HMD</t>
  </si>
  <si>
    <t>SGS</t>
  </si>
  <si>
    <t>CYM</t>
  </si>
  <si>
    <t>CPV</t>
  </si>
  <si>
    <t>KIR</t>
  </si>
  <si>
    <t>COM</t>
  </si>
  <si>
    <t>COG</t>
  </si>
  <si>
    <t>REU</t>
  </si>
  <si>
    <t>ESH</t>
  </si>
  <si>
    <t>UNA</t>
  </si>
  <si>
    <t>XXB</t>
  </si>
  <si>
    <t>SHN</t>
  </si>
  <si>
    <t>VGB</t>
  </si>
  <si>
    <t>GRL</t>
  </si>
  <si>
    <t>NFK</t>
  </si>
  <si>
    <t>PRK</t>
  </si>
  <si>
    <t>MAC</t>
  </si>
  <si>
    <t>MHL</t>
  </si>
  <si>
    <t>MYT</t>
  </si>
  <si>
    <t>UMI</t>
  </si>
  <si>
    <t>FSM</t>
  </si>
  <si>
    <t>MSR</t>
  </si>
  <si>
    <t>MMR</t>
  </si>
  <si>
    <t>NRU</t>
  </si>
  <si>
    <t>NIU</t>
  </si>
  <si>
    <t>NCL</t>
  </si>
  <si>
    <t>PLW</t>
  </si>
  <si>
    <t>PCN</t>
  </si>
  <si>
    <t>GNQ</t>
  </si>
  <si>
    <t>SPM</t>
  </si>
  <si>
    <t>MNP</t>
  </si>
  <si>
    <t>GUF</t>
  </si>
  <si>
    <t>CCK</t>
  </si>
  <si>
    <t>KNA</t>
  </si>
  <si>
    <t>STP</t>
  </si>
  <si>
    <t>SLB</t>
  </si>
  <si>
    <t>TKL</t>
  </si>
  <si>
    <t>TON</t>
  </si>
  <si>
    <t>TCA</t>
  </si>
  <si>
    <t>TUV</t>
  </si>
  <si>
    <t>CXR</t>
  </si>
  <si>
    <t>VUT</t>
  </si>
  <si>
    <t>WLF</t>
  </si>
  <si>
    <t>ATN</t>
  </si>
  <si>
    <t>GBD</t>
  </si>
  <si>
    <t>GBO</t>
  </si>
  <si>
    <t>GBS</t>
  </si>
  <si>
    <t>NTZ</t>
  </si>
  <si>
    <t>PCI</t>
  </si>
  <si>
    <t>PUS</t>
  </si>
  <si>
    <t>XEU</t>
  </si>
  <si>
    <t>XMR</t>
  </si>
  <si>
    <t>PSE</t>
  </si>
  <si>
    <t>MTQ</t>
  </si>
  <si>
    <t>PRI</t>
  </si>
  <si>
    <t>SJM</t>
  </si>
  <si>
    <t>UNO</t>
  </si>
  <si>
    <t>XXA</t>
  </si>
  <si>
    <t>XXC</t>
  </si>
  <si>
    <t>FXX</t>
  </si>
  <si>
    <t>GBN</t>
  </si>
  <si>
    <t>GBP</t>
  </si>
  <si>
    <t>GLP</t>
  </si>
  <si>
    <t>SNS</t>
  </si>
  <si>
    <t>Albánie</t>
  </si>
  <si>
    <t>Alžírsko</t>
  </si>
  <si>
    <t>Americká Samoa</t>
  </si>
  <si>
    <t>Americké Panenské ostrovy</t>
  </si>
  <si>
    <t>Andorra</t>
  </si>
  <si>
    <t>Angola</t>
  </si>
  <si>
    <t>Anguilla</t>
  </si>
  <si>
    <t>Antarktida</t>
  </si>
  <si>
    <t>Antigua a Barbuda</t>
  </si>
  <si>
    <t>Argentina</t>
  </si>
  <si>
    <t>Arménie</t>
  </si>
  <si>
    <t>Aruba</t>
  </si>
  <si>
    <t>Austrálie</t>
  </si>
  <si>
    <t>Ázerbájdžán</t>
  </si>
  <si>
    <t>Bahamy</t>
  </si>
  <si>
    <t>Bahrajn</t>
  </si>
  <si>
    <t>Barbados</t>
  </si>
  <si>
    <t>Belgie</t>
  </si>
  <si>
    <t>Belize</t>
  </si>
  <si>
    <t>Benin</t>
  </si>
  <si>
    <t>Bermudy</t>
  </si>
  <si>
    <t>Bhútán</t>
  </si>
  <si>
    <t>Bolívie</t>
  </si>
  <si>
    <t>Bosna a Hercegovina</t>
  </si>
  <si>
    <t>Botswana</t>
  </si>
  <si>
    <t>Brazílie</t>
  </si>
  <si>
    <t>Britské indickooceánské území</t>
  </si>
  <si>
    <t>Brunej Darussalam</t>
  </si>
  <si>
    <t>Bulharsko</t>
  </si>
  <si>
    <t>Burkina Faso</t>
  </si>
  <si>
    <t>Burundi</t>
  </si>
  <si>
    <t>Cookovy ostrovy</t>
  </si>
  <si>
    <t>Dánsko</t>
  </si>
  <si>
    <t>Dominika</t>
  </si>
  <si>
    <t>Džibutsko</t>
  </si>
  <si>
    <t>Egypt</t>
  </si>
  <si>
    <t>Ekvádor</t>
  </si>
  <si>
    <t>Eritrea</t>
  </si>
  <si>
    <t>Estonsko</t>
  </si>
  <si>
    <t>Etiopie</t>
  </si>
  <si>
    <t>Faerské ostrovy</t>
  </si>
  <si>
    <t>Falklandy</t>
  </si>
  <si>
    <t>Fidži</t>
  </si>
  <si>
    <t>Filipíny</t>
  </si>
  <si>
    <t>Finsko</t>
  </si>
  <si>
    <t>Francouzská jižní území</t>
  </si>
  <si>
    <t>Francouzská Polynésie</t>
  </si>
  <si>
    <t>Gabon</t>
  </si>
  <si>
    <t>Gambie</t>
  </si>
  <si>
    <t>Ghana</t>
  </si>
  <si>
    <t>Grenada</t>
  </si>
  <si>
    <t>Gruzie</t>
  </si>
  <si>
    <t>Guam</t>
  </si>
  <si>
    <t>Guatemala</t>
  </si>
  <si>
    <t>Guinea</t>
  </si>
  <si>
    <t>Guinea-Bissau</t>
  </si>
  <si>
    <t>Haiti</t>
  </si>
  <si>
    <t>Honduras</t>
  </si>
  <si>
    <t>Hongkong</t>
  </si>
  <si>
    <t>Chile</t>
  </si>
  <si>
    <t>Chorvatsko</t>
  </si>
  <si>
    <t>Indonésie</t>
  </si>
  <si>
    <t>Irák</t>
  </si>
  <si>
    <t>Írán</t>
  </si>
  <si>
    <t>Irsko</t>
  </si>
  <si>
    <t>Island</t>
  </si>
  <si>
    <t>Itálie</t>
  </si>
  <si>
    <t>Izrael</t>
  </si>
  <si>
    <t>Jamajka</t>
  </si>
  <si>
    <t>Jemen</t>
  </si>
  <si>
    <t>Jihoafrická republika</t>
  </si>
  <si>
    <t>Jižní Georgie a Jižní Sandwichovy ostrovy</t>
  </si>
  <si>
    <t>Kajmanské ostrovy</t>
  </si>
  <si>
    <t>Kambodža</t>
  </si>
  <si>
    <t>Kamerun</t>
  </si>
  <si>
    <t>Kanada</t>
  </si>
  <si>
    <t>Kapverdy</t>
  </si>
  <si>
    <t>Kazachstán</t>
  </si>
  <si>
    <t>Kiribati</t>
  </si>
  <si>
    <t>Kolumbie</t>
  </si>
  <si>
    <t>Komory</t>
  </si>
  <si>
    <t>Kongo</t>
  </si>
  <si>
    <t>Kongo, demokratická republika</t>
  </si>
  <si>
    <t>Monako</t>
  </si>
  <si>
    <t>Reunion</t>
  </si>
  <si>
    <t>Západní Sahara</t>
  </si>
  <si>
    <t>uprchlík dle konvence  1951</t>
  </si>
  <si>
    <t>Súdán</t>
  </si>
  <si>
    <t>Surinam</t>
  </si>
  <si>
    <t>Svatá Helena</t>
  </si>
  <si>
    <t>Svatá Lucie</t>
  </si>
  <si>
    <t>Afghánistán</t>
  </si>
  <si>
    <t>Britské Panenské ostrovy</t>
  </si>
  <si>
    <t>Bangladéš</t>
  </si>
  <si>
    <t>Grónsko</t>
  </si>
  <si>
    <t>Katar</t>
  </si>
  <si>
    <t>Lotyšsko</t>
  </si>
  <si>
    <t>Norfolk</t>
  </si>
  <si>
    <t>Somálsko</t>
  </si>
  <si>
    <t>Korea</t>
  </si>
  <si>
    <t>Kostarika</t>
  </si>
  <si>
    <t>Kuba</t>
  </si>
  <si>
    <t>Kuvajt</t>
  </si>
  <si>
    <t>Kypr</t>
  </si>
  <si>
    <t>Kyrgyzstán</t>
  </si>
  <si>
    <t>Laos</t>
  </si>
  <si>
    <t>Lesotho</t>
  </si>
  <si>
    <t>Libanon</t>
  </si>
  <si>
    <t>Libérie</t>
  </si>
  <si>
    <t>Libye</t>
  </si>
  <si>
    <t>Lichtenštejnsko</t>
  </si>
  <si>
    <t>Litva</t>
  </si>
  <si>
    <t>Lucembursko</t>
  </si>
  <si>
    <t>Macao</t>
  </si>
  <si>
    <t>Madagaskar</t>
  </si>
  <si>
    <t>Makedonie</t>
  </si>
  <si>
    <t>Malajsie</t>
  </si>
  <si>
    <t>Malawi</t>
  </si>
  <si>
    <t>Maledivy</t>
  </si>
  <si>
    <t>Mali</t>
  </si>
  <si>
    <t>Malta</t>
  </si>
  <si>
    <t>Maroko</t>
  </si>
  <si>
    <t>Marshallovy ostrovy</t>
  </si>
  <si>
    <t>Mauricius</t>
  </si>
  <si>
    <t>Mauritánie</t>
  </si>
  <si>
    <t>Mayotte</t>
  </si>
  <si>
    <t>Menší odlehlé ostrovy USA</t>
  </si>
  <si>
    <t>Mexiko</t>
  </si>
  <si>
    <t>Mikronésie</t>
  </si>
  <si>
    <t>Moldavsko</t>
  </si>
  <si>
    <t>Mongolsko</t>
  </si>
  <si>
    <t>Montserrat</t>
  </si>
  <si>
    <t>Mosambik</t>
  </si>
  <si>
    <t>Myanmar</t>
  </si>
  <si>
    <t>Namibie</t>
  </si>
  <si>
    <t>Nauru</t>
  </si>
  <si>
    <t>Nepál</t>
  </si>
  <si>
    <t>Niger</t>
  </si>
  <si>
    <t>Nigérie</t>
  </si>
  <si>
    <t>Nikaragua</t>
  </si>
  <si>
    <t>Niue</t>
  </si>
  <si>
    <t>Nizozemsko</t>
  </si>
  <si>
    <t>Norsko</t>
  </si>
  <si>
    <t>Nová Kaledonie</t>
  </si>
  <si>
    <t>Nový Zéland</t>
  </si>
  <si>
    <t>Omán</t>
  </si>
  <si>
    <t>Pákistán</t>
  </si>
  <si>
    <t>Palau</t>
  </si>
  <si>
    <t>Panama</t>
  </si>
  <si>
    <t>Paraguay</t>
  </si>
  <si>
    <t>Peru</t>
  </si>
  <si>
    <t>Pitcairn</t>
  </si>
  <si>
    <t>Polsko</t>
  </si>
  <si>
    <t>Portugalsko</t>
  </si>
  <si>
    <t>Rakousko</t>
  </si>
  <si>
    <t>Rovníková Guinea</t>
  </si>
  <si>
    <t>Rumunsko</t>
  </si>
  <si>
    <t>Rwanda</t>
  </si>
  <si>
    <t>Saint Pierre a Miquelon</t>
  </si>
  <si>
    <t>Salvador</t>
  </si>
  <si>
    <t>Samoa</t>
  </si>
  <si>
    <t>San Marino</t>
  </si>
  <si>
    <t>Senegal</t>
  </si>
  <si>
    <t>Severní Mariany</t>
  </si>
  <si>
    <t>Seychely</t>
  </si>
  <si>
    <t>Sierra Leone</t>
  </si>
  <si>
    <t>Singapur</t>
  </si>
  <si>
    <t>Slovensko</t>
  </si>
  <si>
    <t>Slovinsko</t>
  </si>
  <si>
    <t>Spojené království</t>
  </si>
  <si>
    <t>Spojené státy</t>
  </si>
  <si>
    <t>Srí Lanka</t>
  </si>
  <si>
    <t>Francouzská Guyana</t>
  </si>
  <si>
    <t>Dominikánská republika</t>
  </si>
  <si>
    <t>Francie</t>
  </si>
  <si>
    <t>Gibraltar</t>
  </si>
  <si>
    <t>Guyana</t>
  </si>
  <si>
    <t>Indie</t>
  </si>
  <si>
    <t>Japonsko</t>
  </si>
  <si>
    <t>Jordánsko</t>
  </si>
  <si>
    <t>Kokosové ostrovy</t>
  </si>
  <si>
    <t>Nizozemské Antily</t>
  </si>
  <si>
    <t>Papua Nová Guinea</t>
  </si>
  <si>
    <t>Rusko</t>
  </si>
  <si>
    <t>Saúdská Arábie</t>
  </si>
  <si>
    <t>Spojené arabské emiráty</t>
  </si>
  <si>
    <t>Svatý Kryštof a Nevis</t>
  </si>
  <si>
    <t>Vatikán (Svatý stolec)</t>
  </si>
  <si>
    <t>Svatý Tomáš</t>
  </si>
  <si>
    <t>Svatý Vincenc a Grenadiny</t>
  </si>
  <si>
    <t>Svazijsko</t>
  </si>
  <si>
    <t>Sýrie</t>
  </si>
  <si>
    <t>Šalamounovy ostrovy</t>
  </si>
  <si>
    <t>Švédsko</t>
  </si>
  <si>
    <t>Švýcarsko</t>
  </si>
  <si>
    <t>Tádžikistán</t>
  </si>
  <si>
    <t>Tanzánie</t>
  </si>
  <si>
    <t>Thajsko</t>
  </si>
  <si>
    <t>Tchaj-wan</t>
  </si>
  <si>
    <t>Togo</t>
  </si>
  <si>
    <t>Tokelau</t>
  </si>
  <si>
    <t>Tonga</t>
  </si>
  <si>
    <t>Trinidad a Tobago</t>
  </si>
  <si>
    <t>Tunisko</t>
  </si>
  <si>
    <t>Turecko</t>
  </si>
  <si>
    <t>Turkmenistán</t>
  </si>
  <si>
    <t>Turks a Caicos</t>
  </si>
  <si>
    <t>Tuvalu</t>
  </si>
  <si>
    <t>Uganda</t>
  </si>
  <si>
    <t>Ukrajina</t>
  </si>
  <si>
    <t>Uruguay</t>
  </si>
  <si>
    <t>Uzbekistán</t>
  </si>
  <si>
    <t>Vanuatu</t>
  </si>
  <si>
    <t>Venezuela</t>
  </si>
  <si>
    <t>Vietnam</t>
  </si>
  <si>
    <t>Východní Timor</t>
  </si>
  <si>
    <t>Wallis a Futuna</t>
  </si>
  <si>
    <t>Zambie</t>
  </si>
  <si>
    <t>Zimbabwe</t>
  </si>
  <si>
    <t>britská závislá území</t>
  </si>
  <si>
    <t>Britský subjekt</t>
  </si>
  <si>
    <t>ostrov Man</t>
  </si>
  <si>
    <t>neutrální zóna</t>
  </si>
  <si>
    <t>ostrovy USA v Tichém oceánu</t>
  </si>
  <si>
    <t>Evropská unie</t>
  </si>
  <si>
    <t>Guernsey</t>
  </si>
  <si>
    <t>Jersey</t>
  </si>
  <si>
    <t>Palestina</t>
  </si>
  <si>
    <t>Martinik</t>
  </si>
  <si>
    <t>Portoriko</t>
  </si>
  <si>
    <t>Svalbard and Jan Mayen Islands</t>
  </si>
  <si>
    <t>uprchlík ostatní</t>
  </si>
  <si>
    <t>Guadeloupe</t>
  </si>
  <si>
    <t>Spol. nezávisl.st.</t>
  </si>
  <si>
    <t>neuvedený stát</t>
  </si>
  <si>
    <t>Agentura spojených národů</t>
  </si>
  <si>
    <t>Organizace spojených národů</t>
  </si>
  <si>
    <t>Bouvetův ostrov</t>
  </si>
  <si>
    <t>Heardův ostrov a McDonaldovy ostrovy</t>
  </si>
  <si>
    <t>Čad</t>
  </si>
  <si>
    <t>Čína</t>
  </si>
  <si>
    <t>Středoafrická republika</t>
  </si>
  <si>
    <t>Pobřeží slonoviny</t>
  </si>
  <si>
    <t>britské zámořské území</t>
  </si>
  <si>
    <t>Tichomořské ostrovy</t>
  </si>
  <si>
    <t>Svrchovaný řád maltézských rytířů</t>
  </si>
  <si>
    <t>osoba bez státní příslušnosti</t>
  </si>
  <si>
    <t>britská zámořská národnost</t>
  </si>
  <si>
    <t>Korea, lidově demokratická republika</t>
  </si>
  <si>
    <t>Německo</t>
  </si>
  <si>
    <t>Španělsko</t>
  </si>
  <si>
    <t>Země královny Maud</t>
  </si>
  <si>
    <t>britské chráněné osoby</t>
  </si>
  <si>
    <t>Bělorusko</t>
  </si>
  <si>
    <t>Řecko</t>
  </si>
  <si>
    <t>Vánoční ostrov</t>
  </si>
  <si>
    <t>Francie metropolitní</t>
  </si>
  <si>
    <t>název ubytovatele:</t>
  </si>
  <si>
    <t>okres:</t>
  </si>
  <si>
    <t>obec:</t>
  </si>
  <si>
    <t>ulice:</t>
  </si>
  <si>
    <t>domovní číslo:</t>
  </si>
  <si>
    <t>orientační číslo:</t>
  </si>
  <si>
    <t>PSČ:</t>
  </si>
  <si>
    <t>období od:</t>
  </si>
  <si>
    <t>období do:</t>
  </si>
  <si>
    <t>část obce:</t>
  </si>
  <si>
    <t>kontakt:</t>
  </si>
  <si>
    <t>K</t>
  </si>
  <si>
    <t>pobyt od</t>
  </si>
  <si>
    <t>pobyt do</t>
  </si>
  <si>
    <t>příjmení</t>
  </si>
  <si>
    <t>jméno</t>
  </si>
  <si>
    <t>rodné jméno</t>
  </si>
  <si>
    <t>datum narození</t>
  </si>
  <si>
    <t>místo narození</t>
  </si>
  <si>
    <t>stát narození</t>
  </si>
  <si>
    <t>státní občanství</t>
  </si>
  <si>
    <t>číslo cestovního dokladu</t>
  </si>
  <si>
    <t>číslo víza</t>
  </si>
  <si>
    <t>SPZ</t>
  </si>
  <si>
    <t>importovaný soubor:</t>
  </si>
  <si>
    <t>datum vytvoření:</t>
  </si>
  <si>
    <t/>
  </si>
  <si>
    <t>IDUB:</t>
  </si>
  <si>
    <t>ROU</t>
  </si>
  <si>
    <t>SCG</t>
  </si>
  <si>
    <t>Srbsko a Černá Hora</t>
  </si>
  <si>
    <t>TLS</t>
  </si>
  <si>
    <t>XXX</t>
  </si>
  <si>
    <t>Maďarsko</t>
  </si>
  <si>
    <t>Keňa</t>
  </si>
  <si>
    <t>SRB</t>
  </si>
  <si>
    <t>Srbsko</t>
  </si>
  <si>
    <t>MNE</t>
  </si>
  <si>
    <t>Černá Hora</t>
  </si>
  <si>
    <t>RKS</t>
  </si>
  <si>
    <t>Republika Kosovo</t>
  </si>
  <si>
    <t>XXK</t>
  </si>
  <si>
    <t>UNK</t>
  </si>
  <si>
    <t>Kosovo - státy EU neuznávaný</t>
  </si>
  <si>
    <t>XKO</t>
  </si>
  <si>
    <t>Kosovo</t>
  </si>
  <si>
    <t>BLM</t>
  </si>
  <si>
    <t>MAF</t>
  </si>
  <si>
    <t>Saint Barthélemy</t>
  </si>
  <si>
    <t>Saint Martin</t>
  </si>
  <si>
    <t>BES</t>
  </si>
  <si>
    <t>Bonaire, Saint Eustatius and Saba</t>
  </si>
  <si>
    <t>CUW</t>
  </si>
  <si>
    <t>SXM</t>
  </si>
  <si>
    <t>Curaçao</t>
  </si>
  <si>
    <t>Sint Maarten (Dutch part)</t>
  </si>
  <si>
    <t>SSD</t>
  </si>
  <si>
    <t>Jižní Súdán</t>
  </si>
  <si>
    <r>
      <t>CIS</t>
    </r>
    <r>
      <rPr>
        <b/>
        <sz val="12"/>
        <rFont val="Arial"/>
        <family val="2"/>
      </rPr>
      <t xml:space="preserve"> – SEZNAM UBYTOVANÝCH                          </t>
    </r>
    <r>
      <rPr>
        <sz val="12"/>
        <rFont val="Arial"/>
        <family val="2"/>
        <charset val="238"/>
      </rPr>
      <t xml:space="preserve"> (verze SDF)</t>
    </r>
  </si>
  <si>
    <t>00</t>
  </si>
  <si>
    <t>ZDRAVOTNÍ</t>
  </si>
  <si>
    <t>01</t>
  </si>
  <si>
    <t>OBCHODNÍ</t>
  </si>
  <si>
    <t>02</t>
  </si>
  <si>
    <t>KULTURNÍ</t>
  </si>
  <si>
    <t>03</t>
  </si>
  <si>
    <t>NÁVŠTĚVA RODINY NEBO PŘÁTEL</t>
  </si>
  <si>
    <t>04</t>
  </si>
  <si>
    <t>POZVÁNÍ</t>
  </si>
  <si>
    <t>05</t>
  </si>
  <si>
    <t>OFICIÁLNÍ (POLITICKÝ)</t>
  </si>
  <si>
    <t>06</t>
  </si>
  <si>
    <t>07</t>
  </si>
  <si>
    <t>SPORTOVNÍ</t>
  </si>
  <si>
    <t>10</t>
  </si>
  <si>
    <t>TURISTIKA</t>
  </si>
  <si>
    <t>11</t>
  </si>
  <si>
    <t>STUDIUM (ŠKOLENÍ, STÁŽ)</t>
  </si>
  <si>
    <t>12</t>
  </si>
  <si>
    <t>13</t>
  </si>
  <si>
    <t>27</t>
  </si>
  <si>
    <t>ZAMĚSTNÁNÍ</t>
  </si>
  <si>
    <t>99</t>
  </si>
  <si>
    <t>OSTATNÍ / JINÉ</t>
  </si>
  <si>
    <t>poznámka</t>
  </si>
  <si>
    <t>TRANZIT (průjezd)</t>
  </si>
  <si>
    <t>Kosovo - archiv (do 11.2.2015)</t>
  </si>
  <si>
    <t>PODNIKÁNÍ - OSVČ</t>
  </si>
  <si>
    <t>LETIŠTNÍ TRANZIT (letištní průjezd)</t>
  </si>
  <si>
    <t>Tzv. ADS vízum udělované občanu Číny</t>
  </si>
  <si>
    <t>(Vám přidělená) zkratka:</t>
  </si>
  <si>
    <t>FMILV</t>
  </si>
  <si>
    <t>Holiday Inn Prague Congress Centre</t>
  </si>
  <si>
    <t>Praha</t>
  </si>
  <si>
    <t>Praha 4</t>
  </si>
  <si>
    <t>5.kvetna</t>
  </si>
  <si>
    <t>Marcela Neradova 296895055</t>
  </si>
  <si>
    <t>,</t>
  </si>
  <si>
    <t>O:\130-recepce\recepce\Opera export\</t>
  </si>
  <si>
    <t>C:\Users\recepce.6\OneDrive - Prague Congress Centre\Plocha\Cizinec. Policie\ubydata export\</t>
  </si>
  <si>
    <t>2025.07.12 02:01:24</t>
  </si>
  <si>
    <t>GB, London</t>
  </si>
  <si>
    <t>04.01.1981</t>
  </si>
  <si>
    <t>BE, Av. De La Charmille 18, 1200, Bruxelles</t>
  </si>
  <si>
    <t>591971879680</t>
  </si>
  <si>
    <t>30.07.2025</t>
  </si>
  <si>
    <t>29.07.2025</t>
  </si>
  <si>
    <t>DE, Berlin</t>
  </si>
  <si>
    <t>O:\130-recepce\recepce\Opera export\prgnp_police_export_new79030306.unl</t>
  </si>
  <si>
    <t>Matulay</t>
  </si>
  <si>
    <t>Matej</t>
  </si>
  <si>
    <t>26.10.1969</t>
  </si>
  <si>
    <t>CZ, Vng Energie Czech s.r.o., 11000, Praha</t>
  </si>
  <si>
    <t>NH603261</t>
  </si>
  <si>
    <t>Tonkaz</t>
  </si>
  <si>
    <t>Veli</t>
  </si>
  <si>
    <t>31.07.2025</t>
  </si>
  <si>
    <t>Pintolopes</t>
  </si>
  <si>
    <t>Josefilipe</t>
  </si>
  <si>
    <t>02.09.1983</t>
  </si>
  <si>
    <t>CZ, Svedska 1010 15, 15000, Prague</t>
  </si>
  <si>
    <t>CB489668</t>
  </si>
  <si>
    <t>Bajtos</t>
  </si>
  <si>
    <t>Rastislav</t>
  </si>
  <si>
    <t>30.01.1976</t>
  </si>
  <si>
    <t>SK, Senec, Senec</t>
  </si>
  <si>
    <t>HE033265</t>
  </si>
  <si>
    <t>Keprtova</t>
  </si>
  <si>
    <t>Andrea</t>
  </si>
  <si>
    <t>25.04.1994</t>
  </si>
  <si>
    <t>SK, Bratislava, Bratislava</t>
  </si>
  <si>
    <t>MN935572</t>
  </si>
  <si>
    <t>Majercikova</t>
  </si>
  <si>
    <t>Monika</t>
  </si>
  <si>
    <t>05.10.1983</t>
  </si>
  <si>
    <t>CZ, Asiana  Spol. S R.O., Brno</t>
  </si>
  <si>
    <t>HV032713</t>
  </si>
  <si>
    <t>Batora</t>
  </si>
  <si>
    <t>Andrej</t>
  </si>
  <si>
    <t>04.08.1971</t>
  </si>
  <si>
    <t>SK, Pri Jazere 19, 90026, Slovensky-Grob</t>
  </si>
  <si>
    <t>HM457872</t>
  </si>
  <si>
    <t>Ikenoue</t>
  </si>
  <si>
    <t>Kenichi</t>
  </si>
  <si>
    <t>01.08.1979</t>
  </si>
  <si>
    <t>DE, Panasonic Marketing Europe GmbH, 65203, Wiesbaden</t>
  </si>
  <si>
    <t>YZ7mwnpcp</t>
  </si>
  <si>
    <t>01.08.2025</t>
  </si>
  <si>
    <t>Gao</t>
  </si>
  <si>
    <t>Peng</t>
  </si>
  <si>
    <t>28.12.1980</t>
  </si>
  <si>
    <t>BE, Huawei Technologies, Brusel</t>
  </si>
  <si>
    <t>GC7102606</t>
  </si>
  <si>
    <t>Ramsay</t>
  </si>
  <si>
    <t>Paul</t>
  </si>
  <si>
    <t>29.01.1976</t>
  </si>
  <si>
    <t>GB, Grove Cottage, CF71, Cowbridge Wick South</t>
  </si>
  <si>
    <t>140079252</t>
  </si>
  <si>
    <t>Lord</t>
  </si>
  <si>
    <t>Oliver</t>
  </si>
  <si>
    <t>18.02.1992</t>
  </si>
  <si>
    <t>GB, Leonardo Uk Sigma House, SS14 3EL, Basildon</t>
  </si>
  <si>
    <t>127146049</t>
  </si>
  <si>
    <t>Vendelbo</t>
  </si>
  <si>
    <t>Kurt</t>
  </si>
  <si>
    <t>10.03.1962</t>
  </si>
  <si>
    <t>DK, Gammel Strandvangsvej 1, 8250, Egaa Dk</t>
  </si>
  <si>
    <t>213424744</t>
  </si>
  <si>
    <t>Song</t>
  </si>
  <si>
    <t>Xuanbi</t>
  </si>
  <si>
    <t>02.09.1982</t>
  </si>
  <si>
    <t>CN, 4 Floor  Xiejin Building, 200000, Shanghai</t>
  </si>
  <si>
    <t>EK9317010</t>
  </si>
  <si>
    <t>603421330</t>
  </si>
  <si>
    <t>Drenka</t>
  </si>
  <si>
    <t>Peter</t>
  </si>
  <si>
    <t>05.10.1982</t>
  </si>
  <si>
    <t>SK, Bratislava</t>
  </si>
  <si>
    <t>HD422026</t>
  </si>
  <si>
    <t>Glejtekova</t>
  </si>
  <si>
    <t>Zuzana</t>
  </si>
  <si>
    <t>09.08.1994</t>
  </si>
  <si>
    <t>JA247484</t>
  </si>
  <si>
    <t>Balaguer Arbona</t>
  </si>
  <si>
    <t>Juan Carlos</t>
  </si>
  <si>
    <t>07.12.1959</t>
  </si>
  <si>
    <t>ES, Barcelona</t>
  </si>
  <si>
    <t>CIX193686</t>
  </si>
  <si>
    <t>02.08.2025</t>
  </si>
  <si>
    <t>Du</t>
  </si>
  <si>
    <t>Haiyang</t>
  </si>
  <si>
    <t>10.04.1997</t>
  </si>
  <si>
    <t>DE, Am Seestern5 40547, 40547, Dusseldorf</t>
  </si>
  <si>
    <t>en0688786</t>
  </si>
  <si>
    <t>070438948</t>
  </si>
  <si>
    <t>Helen Elizabeth</t>
  </si>
  <si>
    <t>15.03.1967</t>
  </si>
  <si>
    <t>GB</t>
  </si>
  <si>
    <t>539165921</t>
  </si>
  <si>
    <t>Mark Edward</t>
  </si>
  <si>
    <t>30.07.1965</t>
  </si>
  <si>
    <t>543184075</t>
  </si>
  <si>
    <t>Csoka</t>
  </si>
  <si>
    <t>Tomas</t>
  </si>
  <si>
    <t>01.11.1977</t>
  </si>
  <si>
    <t>SK, Slovensky Grob</t>
  </si>
  <si>
    <t>NP090117</t>
  </si>
  <si>
    <t>Lefebure</t>
  </si>
  <si>
    <t>Martin Marc Marie</t>
  </si>
  <si>
    <t>10.04.1986</t>
  </si>
  <si>
    <t>FR, Paris</t>
  </si>
  <si>
    <t>20AH84568</t>
  </si>
  <si>
    <t>Maxey Jr</t>
  </si>
  <si>
    <t>Vance Monroe</t>
  </si>
  <si>
    <t>29.08.1988</t>
  </si>
  <si>
    <t>US</t>
  </si>
  <si>
    <t>A53700615</t>
  </si>
  <si>
    <t>Zheng</t>
  </si>
  <si>
    <t>Tao</t>
  </si>
  <si>
    <t>11.07.1981</t>
  </si>
  <si>
    <t>CN</t>
  </si>
  <si>
    <t>H23668638</t>
  </si>
  <si>
    <t>Eiskjaer</t>
  </si>
  <si>
    <t>Marianne Tolstrup</t>
  </si>
  <si>
    <t>06.05.1959</t>
  </si>
  <si>
    <t>DK</t>
  </si>
  <si>
    <t>210055142</t>
  </si>
  <si>
    <t>Babjak</t>
  </si>
  <si>
    <t>Juraj</t>
  </si>
  <si>
    <t>04.06.1986</t>
  </si>
  <si>
    <t>NK278169</t>
  </si>
  <si>
    <t>Duba</t>
  </si>
  <si>
    <t>Karol</t>
  </si>
  <si>
    <t>08.10.1985</t>
  </si>
  <si>
    <t>HG866966</t>
  </si>
  <si>
    <t>Zhu</t>
  </si>
  <si>
    <t>Yiwei</t>
  </si>
  <si>
    <t>19.08.1994</t>
  </si>
  <si>
    <t>EN9441174</t>
  </si>
  <si>
    <t>Lily Rose</t>
  </si>
  <si>
    <t>24.05.2010</t>
  </si>
  <si>
    <t>129741493</t>
  </si>
  <si>
    <t>Casey</t>
  </si>
  <si>
    <t>Madeleine Maria</t>
  </si>
  <si>
    <t>14.01.1999</t>
  </si>
  <si>
    <t>FI, ., Tumut</t>
  </si>
  <si>
    <t>CP1858520</t>
  </si>
  <si>
    <t>Herford</t>
  </si>
  <si>
    <t>Paige Pamela</t>
  </si>
  <si>
    <t>28.07.1999</t>
  </si>
  <si>
    <t>AU, ., Kogarah</t>
  </si>
  <si>
    <t>PA4266894</t>
  </si>
  <si>
    <t>Kielczyk</t>
  </si>
  <si>
    <t>Mateusz Antoni</t>
  </si>
  <si>
    <t>27.08.1986</t>
  </si>
  <si>
    <t>PL</t>
  </si>
  <si>
    <t>DFL405598</t>
  </si>
  <si>
    <t>Pehlivan</t>
  </si>
  <si>
    <t>Ahmet</t>
  </si>
  <si>
    <t>11.04.1973</t>
  </si>
  <si>
    <t>TR</t>
  </si>
  <si>
    <t>Z35136794</t>
  </si>
  <si>
    <t>maji sedy pas</t>
  </si>
  <si>
    <t>Akkaynak</t>
  </si>
  <si>
    <t>Gizem</t>
  </si>
  <si>
    <t>22.07.1992</t>
  </si>
  <si>
    <t>Z25102145</t>
  </si>
  <si>
    <t>Natasha Louise</t>
  </si>
  <si>
    <t>27.08.1995</t>
  </si>
  <si>
    <t>139386828</t>
  </si>
  <si>
    <t>Janssen</t>
  </si>
  <si>
    <t>Holger Ingo</t>
  </si>
  <si>
    <t>24.07.1961</t>
  </si>
  <si>
    <t>DE</t>
  </si>
  <si>
    <t>L2F6HKYJ2</t>
  </si>
  <si>
    <t>26.11.1966</t>
  </si>
  <si>
    <t>L2F6J9569</t>
  </si>
  <si>
    <t>Suna</t>
  </si>
  <si>
    <t>Masaaki</t>
  </si>
  <si>
    <t>07.02.1973</t>
  </si>
  <si>
    <t>DE, Panasonic Marketing Europe GmbH, Wiesbaden</t>
  </si>
  <si>
    <t>YZ7MC4GVL</t>
  </si>
  <si>
    <t>Hoogenboom</t>
  </si>
  <si>
    <t>Ronaldus Petrus Johannes</t>
  </si>
  <si>
    <t>31.03.1967</t>
  </si>
  <si>
    <t>NL, Amsterdam</t>
  </si>
  <si>
    <t>NV7F38BB3</t>
  </si>
  <si>
    <t>Ilona</t>
  </si>
  <si>
    <t>23.01.1991</t>
  </si>
  <si>
    <t>PL, Postepu 15f, 02-676, Warszawa</t>
  </si>
  <si>
    <t>DII251373</t>
  </si>
  <si>
    <t>Lee</t>
  </si>
  <si>
    <t>Hyegyong</t>
  </si>
  <si>
    <t>13.04.1966</t>
  </si>
  <si>
    <t>KR, Seoul</t>
  </si>
  <si>
    <t>M968W9847</t>
  </si>
  <si>
    <t>Wiessner</t>
  </si>
  <si>
    <t>Jana</t>
  </si>
  <si>
    <t>17.05.1976</t>
  </si>
  <si>
    <t>C84KCXYHW</t>
  </si>
  <si>
    <t>Emily Ela</t>
  </si>
  <si>
    <t>11.05.2013</t>
  </si>
  <si>
    <t>C84KCX7PP</t>
  </si>
  <si>
    <t>Liddington</t>
  </si>
  <si>
    <t>Jordan Charles</t>
  </si>
  <si>
    <t>17.04.1999</t>
  </si>
  <si>
    <t>137869042</t>
  </si>
  <si>
    <t>Van Den Berg</t>
  </si>
  <si>
    <t>Jelle Pieter</t>
  </si>
  <si>
    <t>17.05.1981</t>
  </si>
  <si>
    <t>NL, Inepro BV, NIEUW-VENNEP, 2153</t>
  </si>
  <si>
    <t>IY857F5P7</t>
  </si>
  <si>
    <t>Gerardo Henriques</t>
  </si>
  <si>
    <t>Luis Filipe</t>
  </si>
  <si>
    <t>04.07.1974</t>
  </si>
  <si>
    <t>PT</t>
  </si>
  <si>
    <t>102570396</t>
  </si>
  <si>
    <t>Zinchenko</t>
  </si>
  <si>
    <t>Olena</t>
  </si>
  <si>
    <t>18.03.1988</t>
  </si>
  <si>
    <t>UA</t>
  </si>
  <si>
    <t>FE349946</t>
  </si>
  <si>
    <t>Harizanov</t>
  </si>
  <si>
    <t>Nikolay Kostov</t>
  </si>
  <si>
    <t>06.11.2002</t>
  </si>
  <si>
    <t>BG</t>
  </si>
  <si>
    <t>649935137</t>
  </si>
  <si>
    <t>Ruth Louisa</t>
  </si>
  <si>
    <t>22.07.1981</t>
  </si>
  <si>
    <t>158501814</t>
  </si>
  <si>
    <t>Puhlmann</t>
  </si>
  <si>
    <t>Emil Piotr</t>
  </si>
  <si>
    <t>27.09.1989</t>
  </si>
  <si>
    <t>L2CZ3T5CX</t>
  </si>
  <si>
    <t>Paethke</t>
  </si>
  <si>
    <t>Wilhelmine Eva</t>
  </si>
  <si>
    <t>29.01.1990</t>
  </si>
  <si>
    <t>L3H971RKJ</t>
  </si>
  <si>
    <t>Bordea</t>
  </si>
  <si>
    <t xml:space="preserve">Abel </t>
  </si>
  <si>
    <t>27.04.1994</t>
  </si>
  <si>
    <t>GB, Dagenham, RM8 1JS, Dagenham</t>
  </si>
  <si>
    <t>061544716</t>
  </si>
  <si>
    <t>Akbari</t>
  </si>
  <si>
    <t>Hamid</t>
  </si>
  <si>
    <t>14.03.1985</t>
  </si>
  <si>
    <t>TR, Isiktepe Osb Mah. Siyah Cad. No:47, 16215, Nilufer-</t>
  </si>
  <si>
    <t>R71966988</t>
  </si>
  <si>
    <t>071528310</t>
  </si>
  <si>
    <t>Li</t>
  </si>
  <si>
    <t>Pingshu</t>
  </si>
  <si>
    <t>26.05.1980</t>
  </si>
  <si>
    <t>US, 8704 N 21st St, 78504, Mcallen Us</t>
  </si>
  <si>
    <t>EJ5400696</t>
  </si>
  <si>
    <t>004529208</t>
  </si>
  <si>
    <t>Mullerkraus</t>
  </si>
  <si>
    <t>David</t>
  </si>
  <si>
    <t>16.08.1994</t>
  </si>
  <si>
    <t>SE, Videvagen 7d, 77141, Ludvika</t>
  </si>
  <si>
    <t>gg023004</t>
  </si>
  <si>
    <t>Zhang</t>
  </si>
  <si>
    <t>Jinguang</t>
  </si>
  <si>
    <t>10.09.1973</t>
  </si>
  <si>
    <t>SE, Abb Ab, 72183, Vasteras</t>
  </si>
  <si>
    <t>EJ4430446</t>
  </si>
  <si>
    <t>Pashman</t>
  </si>
  <si>
    <t>Max</t>
  </si>
  <si>
    <t>21.05.1992</t>
  </si>
  <si>
    <t>US, 722 Orlando Ave, 90069, Los-Angeles</t>
  </si>
  <si>
    <t>A23952373</t>
  </si>
  <si>
    <t>Grgec</t>
  </si>
  <si>
    <t>Jackson</t>
  </si>
  <si>
    <t>24.10.1997</t>
  </si>
  <si>
    <t>CA, 2520 Portage Ave, R3J 3T6, Winnipeg</t>
  </si>
  <si>
    <t>rb573807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</si>
</sst>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000\ 00"/>
    <numFmt numFmtId="175" formatCode="dd\.mm\.yyyy"/>
  </numFmts>
  <fonts count="12" x14ac:knownFonts="1">
    <font>
      <sz val="10"/>
      <name val="Arial CE"/>
      <charset val="238"/>
    </font>
    <font>
      <sz val="10"/>
      <name val="Tahoma"/>
      <family val="2"/>
    </font>
    <font>
      <b/>
      <sz val="12"/>
      <name val="Tahoma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38"/>
    </font>
    <font>
      <b/>
      <sz val="10"/>
      <name val="Tahoma"/>
      <family val="2"/>
    </font>
    <font>
      <sz val="10"/>
      <name val="Tahoma"/>
      <family val="2"/>
      <charset val="238"/>
    </font>
    <font>
      <sz val="12"/>
      <name val="Arial"/>
      <family val="2"/>
      <charset val="238"/>
    </font>
    <font>
      <sz val="8"/>
      <name val="Arial CE"/>
      <charset val="238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63"/>
      </right>
      <top/>
      <bottom/>
      <diagonal/>
    </border>
    <border>
      <left style="thin">
        <color indexed="9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/>
      <right style="thin">
        <color indexed="63"/>
      </right>
      <top/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3"/>
      </right>
      <top style="thin">
        <color indexed="9"/>
      </top>
      <bottom/>
      <diagonal/>
    </border>
  </borders>
  <cellStyleXfs count="2">
    <xf numFmtId="0" fontId="0" fillId="0" borderId="0"/>
    <xf numFmtId="0" fontId="11" fillId="0" borderId="0"/>
  </cellStyleXfs>
  <cellXfs count="4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2" borderId="0" xfId="0" applyFont="1" applyFill="1" applyBorder="1" applyAlignment="1">
      <alignment horizontal="right"/>
    </xf>
    <xf numFmtId="0" fontId="1" fillId="2" borderId="0" xfId="0" applyFont="1" applyFill="1" applyBorder="1"/>
    <xf numFmtId="49" fontId="1" fillId="2" borderId="0" xfId="0" applyNumberFormat="1" applyFont="1" applyFill="1" applyBorder="1" applyAlignment="1">
      <alignment horizontal="left"/>
    </xf>
    <xf numFmtId="1" fontId="1" fillId="2" borderId="0" xfId="0" applyNumberFormat="1" applyFont="1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4" xfId="0" applyFont="1" applyFill="1" applyBorder="1" applyAlignment="1">
      <alignment horizontal="right"/>
    </xf>
    <xf numFmtId="0" fontId="1" fillId="2" borderId="4" xfId="0" applyFont="1" applyFill="1" applyBorder="1"/>
    <xf numFmtId="0" fontId="1" fillId="2" borderId="5" xfId="0" applyFont="1" applyFill="1" applyBorder="1"/>
    <xf numFmtId="14" fontId="1" fillId="2" borderId="0" xfId="0" applyNumberFormat="1" applyFont="1" applyFill="1" applyBorder="1" applyAlignment="1">
      <alignment horizontal="left"/>
    </xf>
    <xf numFmtId="0" fontId="1" fillId="0" borderId="0" xfId="0" applyFont="1" applyBorder="1"/>
    <xf numFmtId="0" fontId="3" fillId="2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3" borderId="0" xfId="0" applyFont="1" applyFill="1" applyBorder="1" applyAlignment="1" applyProtection="1">
      <alignment horizontal="left"/>
      <protection locked="0"/>
    </xf>
    <xf numFmtId="49" fontId="1" fillId="3" borderId="0" xfId="0" applyNumberFormat="1" applyFont="1" applyFill="1" applyBorder="1" applyAlignment="1" applyProtection="1">
      <alignment horizontal="left"/>
      <protection locked="0"/>
    </xf>
    <xf numFmtId="1" fontId="1" fillId="3" borderId="0" xfId="0" applyNumberFormat="1" applyFont="1" applyFill="1" applyBorder="1" applyAlignment="1" applyProtection="1">
      <alignment horizontal="left"/>
      <protection locked="0"/>
    </xf>
    <xf numFmtId="166" fontId="1" fillId="3" borderId="0" xfId="0" applyNumberFormat="1" applyFont="1" applyFill="1" applyBorder="1" applyAlignment="1" applyProtection="1">
      <alignment horizontal="left"/>
      <protection locked="0"/>
    </xf>
    <xf numFmtId="49" fontId="4" fillId="0" borderId="0" xfId="0" applyNumberFormat="1" applyFont="1" applyProtection="1">
      <protection locked="0"/>
    </xf>
    <xf numFmtId="49" fontId="4" fillId="0" borderId="0" xfId="0" applyNumberFormat="1" applyFont="1" applyAlignment="1" applyProtection="1">
      <alignment horizontal="center"/>
      <protection locked="0"/>
    </xf>
    <xf numFmtId="49" fontId="4" fillId="0" borderId="0" xfId="0" applyNumberFormat="1" applyFont="1" applyProtection="1"/>
    <xf numFmtId="0" fontId="1" fillId="0" borderId="0" xfId="0" applyFont="1" applyAlignment="1" applyProtection="1">
      <alignment horizontal="left"/>
      <protection locked="0"/>
    </xf>
    <xf numFmtId="49" fontId="1" fillId="3" borderId="0" xfId="0" applyNumberFormat="1" applyFont="1" applyFill="1" applyBorder="1" applyAlignment="1" applyProtection="1">
      <alignment horizontal="left" wrapText="1"/>
      <protection locked="0"/>
    </xf>
    <xf numFmtId="49" fontId="5" fillId="2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6" xfId="0" applyNumberFormat="1" applyFont="1" applyFill="1" applyBorder="1" applyAlignment="1" applyProtection="1">
      <alignment vertical="center" wrapText="1"/>
    </xf>
    <xf numFmtId="49" fontId="5" fillId="0" borderId="0" xfId="0" applyNumberFormat="1" applyFont="1" applyAlignment="1" applyProtection="1">
      <alignment vertical="center" wrapText="1"/>
    </xf>
    <xf numFmtId="49" fontId="1" fillId="0" borderId="0" xfId="0" applyNumberFormat="1" applyFont="1" applyAlignment="1" applyProtection="1">
      <alignment horizontal="left"/>
      <protection locked="0"/>
    </xf>
    <xf numFmtId="0" fontId="1" fillId="3" borderId="0" xfId="0" applyNumberFormat="1" applyFont="1" applyFill="1" applyBorder="1" applyAlignment="1" applyProtection="1">
      <alignment horizontal="left"/>
      <protection hidden="1"/>
    </xf>
    <xf numFmtId="0" fontId="1" fillId="0" borderId="0" xfId="0" applyNumberFormat="1" applyFont="1" applyAlignment="1" applyProtection="1">
      <alignment horizontal="left"/>
      <protection hidden="1"/>
    </xf>
    <xf numFmtId="0" fontId="7" fillId="2" borderId="0" xfId="0" applyFont="1" applyFill="1" applyBorder="1" applyAlignment="1" applyProtection="1">
      <alignment horizontal="center"/>
      <protection hidden="1"/>
    </xf>
    <xf numFmtId="0" fontId="1" fillId="2" borderId="0" xfId="0" applyFont="1" applyFill="1" applyBorder="1" applyProtection="1">
      <protection hidden="1"/>
    </xf>
    <xf numFmtId="0" fontId="2" fillId="2" borderId="0" xfId="0" applyFont="1" applyFill="1" applyBorder="1" applyAlignment="1" applyProtection="1">
      <alignment horizontal="center"/>
      <protection hidden="1"/>
    </xf>
    <xf numFmtId="0" fontId="8" fillId="0" borderId="0" xfId="0" applyFont="1" applyProtection="1">
      <protection locked="0"/>
    </xf>
    <xf numFmtId="0" fontId="0" fillId="0" borderId="0" xfId="0" applyAlignment="1">
      <alignment horizontal="left"/>
    </xf>
    <xf numFmtId="14" fontId="5" fillId="2" borderId="6" xfId="0" applyNumberFormat="1" applyFont="1" applyFill="1" applyBorder="1" applyAlignment="1" applyProtection="1">
      <alignment vertical="center" wrapText="1"/>
    </xf>
    <xf numFmtId="14" fontId="4" fillId="0" borderId="0" xfId="0" applyNumberFormat="1" applyFont="1" applyProtection="1">
      <protection locked="0"/>
    </xf>
    <xf numFmtId="175" fontId="1" fillId="3" borderId="0" xfId="0" applyNumberFormat="1" applyFont="1" applyFill="1" applyBorder="1" applyAlignment="1" applyProtection="1">
      <alignment horizontal="left"/>
      <protection locked="0"/>
    </xf>
    <xf numFmtId="14" fontId="1" fillId="0" borderId="0" xfId="0" applyNumberFormat="1" applyFont="1"/>
    <xf numFmtId="1" fontId="1" fillId="3" borderId="0" xfId="0" quotePrefix="1" applyNumberFormat="1" applyFont="1" applyFill="1" applyBorder="1" applyAlignment="1" applyProtection="1">
      <alignment horizontal="left"/>
      <protection locked="0"/>
    </xf>
    <xf numFmtId="49" fontId="4" fillId="2" borderId="0" xfId="0" applyNumberFormat="1" applyFont="1" applyFill="1" applyProtection="1">
      <protection locked="0"/>
    </xf>
    <xf numFmtId="0" fontId="6" fillId="2" borderId="7" xfId="0" applyFont="1" applyFill="1" applyBorder="1" applyAlignment="1">
      <alignment horizontal="right"/>
    </xf>
    <xf numFmtId="0" fontId="2" fillId="2" borderId="8" xfId="0" applyFont="1" applyFill="1" applyBorder="1" applyAlignment="1">
      <alignment horizontal="right"/>
    </xf>
    <xf numFmtId="0" fontId="2" fillId="2" borderId="9" xfId="0" applyFont="1" applyFill="1" applyBorder="1" applyAlignment="1">
      <alignment horizontal="right"/>
    </xf>
  </cellXfs>
  <cellStyles count="2">
    <cellStyle name="Normální" xfId="0" builtinId="0"/>
    <cellStyle name="Normální 2" xfId="1" xr:uid="{882BD6D0-233C-44F1-93FB-9FE6532BD6D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3114675</xdr:colOff>
          <xdr:row>33</xdr:row>
          <xdr:rowOff>304800</xdr:rowOff>
        </xdr:from>
        <xdr:to>
          <xdr:col>3</xdr:col>
          <xdr:colOff>4086225</xdr:colOff>
          <xdr:row>35</xdr:row>
          <xdr:rowOff>95250</xdr:rowOff>
        </xdr:to>
        <xdr:sp macro="" textlink="">
          <xdr:nvSpPr>
            <xdr:cNvPr id="1025" name="Ins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B2E2AED-772E-2B8E-0027-2A1E50A12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33</xdr:row>
          <xdr:rowOff>304800</xdr:rowOff>
        </xdr:from>
        <xdr:to>
          <xdr:col>1</xdr:col>
          <xdr:colOff>1009650</xdr:colOff>
          <xdr:row>35</xdr:row>
          <xdr:rowOff>104775</xdr:rowOff>
        </xdr:to>
        <xdr:sp macro="" textlink="">
          <xdr:nvSpPr>
            <xdr:cNvPr id="1028" name="DeleteAll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4EF27337-4BDD-22EB-26F2-AFFBB48AEF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2085975</xdr:colOff>
          <xdr:row>33</xdr:row>
          <xdr:rowOff>304800</xdr:rowOff>
        </xdr:from>
        <xdr:to>
          <xdr:col>3</xdr:col>
          <xdr:colOff>2943225</xdr:colOff>
          <xdr:row>35</xdr:row>
          <xdr:rowOff>104775</xdr:rowOff>
        </xdr:to>
        <xdr:sp macro="" textlink="">
          <xdr:nvSpPr>
            <xdr:cNvPr id="1029" name="Expor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20E355F1-5CB7-0F1D-6DB3-7A8D45795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3105150</xdr:colOff>
          <xdr:row>32</xdr:row>
          <xdr:rowOff>76200</xdr:rowOff>
        </xdr:from>
        <xdr:to>
          <xdr:col>3</xdr:col>
          <xdr:colOff>4086225</xdr:colOff>
          <xdr:row>33</xdr:row>
          <xdr:rowOff>228600</xdr:rowOff>
        </xdr:to>
        <xdr:sp macro="" textlink="">
          <xdr:nvSpPr>
            <xdr:cNvPr id="1030" name="Check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F4E23CD3-1D18-6074-2867-BBA94D3C3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1219200</xdr:colOff>
          <xdr:row>33</xdr:row>
          <xdr:rowOff>304800</xdr:rowOff>
        </xdr:from>
        <xdr:to>
          <xdr:col>3</xdr:col>
          <xdr:colOff>533400</xdr:colOff>
          <xdr:row>35</xdr:row>
          <xdr:rowOff>104775</xdr:rowOff>
        </xdr:to>
        <xdr:sp macro="" textlink="">
          <xdr:nvSpPr>
            <xdr:cNvPr id="1033" name="Impor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CA0F6D08-3641-AC2C-EA2E-D7D95896AC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32</xdr:row>
          <xdr:rowOff>304800</xdr:rowOff>
        </xdr:from>
        <xdr:to>
          <xdr:col>3</xdr:col>
          <xdr:colOff>409575</xdr:colOff>
          <xdr:row>33</xdr:row>
          <xdr:rowOff>276225</xdr:rowOff>
        </xdr:to>
        <xdr:sp macro="" textlink="">
          <xdr:nvSpPr>
            <xdr:cNvPr id="1035" name="CheckBoxRead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ED34F994-DB48-F9EE-019D-3BD9EC3C3D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32</xdr:row>
          <xdr:rowOff>57150</xdr:rowOff>
        </xdr:from>
        <xdr:to>
          <xdr:col>3</xdr:col>
          <xdr:colOff>1181100</xdr:colOff>
          <xdr:row>33</xdr:row>
          <xdr:rowOff>28575</xdr:rowOff>
        </xdr:to>
        <xdr:sp macro="" textlink="">
          <xdr:nvSpPr>
            <xdr:cNvPr id="1037" name="SameName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ADB876E4-9D01-BF56-F7D8-3862F2E82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iv systému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AA0B-EB2D-4EA9-B997-C6C4CE140C9F}">
  <sheetPr codeName="List3"/>
  <dimension ref="B1:L45"/>
  <sheetViews>
    <sheetView showGridLines="0" tabSelected="1" zoomScaleNormal="100" workbookViewId="0">
      <selection activeCell="M12" sqref="M12"/>
    </sheetView>
  </sheetViews>
  <sheetFormatPr defaultRowHeight="12.75" x14ac:dyDescent="0.2"/>
  <cols>
    <col min="1" max="1" width="9.140625" style="1"/>
    <col min="2" max="2" width="22.140625" style="2" customWidth="1"/>
    <col min="3" max="3" width="1" style="2" customWidth="1"/>
    <col min="4" max="4" width="61.5703125" style="2" customWidth="1"/>
    <col min="5" max="5" width="2.28515625" style="1" customWidth="1"/>
    <col min="6" max="6" width="0.140625" style="1" customWidth="1"/>
    <col min="7" max="7" width="9.140625" style="1"/>
    <col min="8" max="8" width="11.140625" style="1" bestFit="1" customWidth="1"/>
    <col min="9" max="16384" width="9.140625" style="1"/>
  </cols>
  <sheetData>
    <row r="1" spans="2:6" ht="27.75" customHeight="1" x14ac:dyDescent="0.2"/>
    <row r="2" spans="2:6" ht="21" customHeight="1" x14ac:dyDescent="0.25">
      <c r="B2" s="46" t="s">
        <v>571</v>
      </c>
      <c r="C2" s="47"/>
      <c r="D2" s="47"/>
      <c r="E2" s="47"/>
      <c r="F2" s="48"/>
    </row>
    <row r="3" spans="2:6" ht="21" customHeight="1" x14ac:dyDescent="0.25">
      <c r="B3" s="16"/>
      <c r="C3" s="17"/>
      <c r="D3" s="17"/>
      <c r="E3" s="17"/>
      <c r="F3" s="18"/>
    </row>
    <row r="4" spans="2:6" ht="12.75" customHeight="1" x14ac:dyDescent="0.2">
      <c r="B4" s="8" t="s">
        <v>540</v>
      </c>
      <c r="C4" s="19"/>
      <c r="D4" s="44">
        <v>100363080249</v>
      </c>
      <c r="E4" s="35" t="str">
        <f>checkidub(idub)</f>
        <v xml:space="preserve"> </v>
      </c>
      <c r="F4" s="18"/>
    </row>
    <row r="5" spans="2:6" ht="5.0999999999999996" customHeight="1" x14ac:dyDescent="0.2">
      <c r="B5" s="8"/>
      <c r="C5" s="3"/>
      <c r="D5" s="3"/>
      <c r="E5" s="36"/>
      <c r="F5" s="9"/>
    </row>
    <row r="6" spans="2:6" ht="12.75" customHeight="1" x14ac:dyDescent="0.2">
      <c r="B6" s="8" t="s">
        <v>603</v>
      </c>
      <c r="C6" s="19"/>
      <c r="D6" s="38" t="s">
        <v>604</v>
      </c>
      <c r="E6" s="37"/>
      <c r="F6" s="18"/>
    </row>
    <row r="7" spans="2:6" ht="5.0999999999999996" customHeight="1" x14ac:dyDescent="0.2">
      <c r="B7" s="8"/>
      <c r="C7" s="3"/>
      <c r="D7" s="3"/>
      <c r="E7" s="36"/>
      <c r="F7" s="9"/>
    </row>
    <row r="8" spans="2:6" x14ac:dyDescent="0.2">
      <c r="B8" s="8" t="s">
        <v>513</v>
      </c>
      <c r="C8" s="3"/>
      <c r="D8" s="21" t="s">
        <v>605</v>
      </c>
      <c r="E8" s="36"/>
      <c r="F8" s="9"/>
    </row>
    <row r="9" spans="2:6" ht="5.0999999999999996" customHeight="1" x14ac:dyDescent="0.2">
      <c r="B9" s="8"/>
      <c r="C9" s="3"/>
      <c r="D9" s="3"/>
      <c r="E9" s="36"/>
      <c r="F9" s="9"/>
    </row>
    <row r="10" spans="2:6" x14ac:dyDescent="0.2">
      <c r="B10" s="8" t="s">
        <v>523</v>
      </c>
      <c r="C10" s="3"/>
      <c r="D10" s="28" t="s">
        <v>609</v>
      </c>
      <c r="E10" s="36"/>
      <c r="F10" s="9"/>
    </row>
    <row r="11" spans="2:6" ht="5.0999999999999996" customHeight="1" x14ac:dyDescent="0.2">
      <c r="B11" s="8"/>
      <c r="C11" s="3"/>
      <c r="D11" s="5"/>
      <c r="E11" s="36"/>
      <c r="F11" s="9"/>
    </row>
    <row r="12" spans="2:6" x14ac:dyDescent="0.2">
      <c r="B12" s="8" t="s">
        <v>514</v>
      </c>
      <c r="C12" s="3"/>
      <c r="D12" s="21" t="s">
        <v>606</v>
      </c>
      <c r="E12" s="36"/>
      <c r="F12" s="9"/>
    </row>
    <row r="13" spans="2:6" ht="5.0999999999999996" customHeight="1" x14ac:dyDescent="0.2">
      <c r="B13" s="8"/>
      <c r="C13" s="3"/>
      <c r="D13" s="5"/>
      <c r="E13" s="36"/>
      <c r="F13" s="9"/>
    </row>
    <row r="14" spans="2:6" x14ac:dyDescent="0.2">
      <c r="B14" s="8" t="s">
        <v>515</v>
      </c>
      <c r="C14" s="3"/>
      <c r="D14" s="21" t="s">
        <v>606</v>
      </c>
      <c r="E14" s="36"/>
      <c r="F14" s="9"/>
    </row>
    <row r="15" spans="2:6" ht="5.0999999999999996" customHeight="1" x14ac:dyDescent="0.2">
      <c r="B15" s="8"/>
      <c r="C15" s="3"/>
      <c r="D15" s="5"/>
      <c r="E15" s="36"/>
      <c r="F15" s="9"/>
    </row>
    <row r="16" spans="2:6" x14ac:dyDescent="0.2">
      <c r="B16" s="8" t="s">
        <v>522</v>
      </c>
      <c r="C16" s="3"/>
      <c r="D16" s="21" t="s">
        <v>607</v>
      </c>
      <c r="E16" s="36"/>
      <c r="F16" s="9"/>
    </row>
    <row r="17" spans="2:12" ht="5.0999999999999996" customHeight="1" x14ac:dyDescent="0.2">
      <c r="B17" s="8"/>
      <c r="C17" s="3"/>
      <c r="D17" s="5"/>
      <c r="E17" s="36"/>
      <c r="F17" s="9"/>
    </row>
    <row r="18" spans="2:12" x14ac:dyDescent="0.2">
      <c r="B18" s="8" t="s">
        <v>516</v>
      </c>
      <c r="C18" s="3"/>
      <c r="D18" s="21" t="s">
        <v>608</v>
      </c>
      <c r="E18" s="36"/>
      <c r="F18" s="9"/>
    </row>
    <row r="19" spans="2:12" ht="5.0999999999999996" customHeight="1" x14ac:dyDescent="0.2">
      <c r="B19" s="8"/>
      <c r="C19" s="3"/>
      <c r="D19" s="5"/>
      <c r="E19" s="36"/>
      <c r="F19" s="9"/>
    </row>
    <row r="20" spans="2:12" x14ac:dyDescent="0.2">
      <c r="B20" s="8" t="s">
        <v>517</v>
      </c>
      <c r="C20" s="3"/>
      <c r="D20" s="22">
        <v>65</v>
      </c>
      <c r="E20" s="36" t="str">
        <f>checkcd(cd)</f>
        <v xml:space="preserve"> </v>
      </c>
      <c r="F20" s="9"/>
    </row>
    <row r="21" spans="2:12" ht="5.0999999999999996" customHeight="1" x14ac:dyDescent="0.2">
      <c r="B21" s="8"/>
      <c r="C21" s="3"/>
      <c r="D21" s="6"/>
      <c r="E21" s="36"/>
      <c r="F21" s="9"/>
    </row>
    <row r="22" spans="2:12" x14ac:dyDescent="0.2">
      <c r="B22" s="8" t="s">
        <v>518</v>
      </c>
      <c r="C22" s="3"/>
      <c r="D22" s="20">
        <v>1</v>
      </c>
      <c r="E22" s="36" t="str">
        <f>checkcor(cor)</f>
        <v xml:space="preserve"> </v>
      </c>
      <c r="F22" s="9"/>
      <c r="H22" s="43"/>
    </row>
    <row r="23" spans="2:12" ht="5.0999999999999996" customHeight="1" x14ac:dyDescent="0.2">
      <c r="B23" s="8"/>
      <c r="C23" s="3"/>
      <c r="D23" s="7"/>
      <c r="E23" s="36"/>
      <c r="F23" s="9"/>
    </row>
    <row r="24" spans="2:12" x14ac:dyDescent="0.2">
      <c r="B24" s="8" t="s">
        <v>519</v>
      </c>
      <c r="C24" s="3"/>
      <c r="D24" s="23">
        <v>14021</v>
      </c>
      <c r="E24" s="36"/>
      <c r="F24" s="9"/>
    </row>
    <row r="25" spans="2:12" ht="25.5" customHeight="1" x14ac:dyDescent="0.2">
      <c r="B25" s="8"/>
      <c r="C25" s="3"/>
      <c r="D25" s="7"/>
      <c r="E25" s="4"/>
      <c r="F25" s="9"/>
    </row>
    <row r="26" spans="2:12" x14ac:dyDescent="0.2">
      <c r="B26" s="8" t="s">
        <v>520</v>
      </c>
      <c r="C26" s="3"/>
      <c r="D26" s="42">
        <v>42736</v>
      </c>
      <c r="E26" s="4"/>
      <c r="F26" s="9"/>
    </row>
    <row r="27" spans="2:12" ht="5.0999999999999996" customHeight="1" x14ac:dyDescent="0.2">
      <c r="B27" s="8"/>
      <c r="C27" s="3"/>
      <c r="D27" s="14"/>
      <c r="E27" s="4"/>
      <c r="F27" s="9"/>
    </row>
    <row r="28" spans="2:12" x14ac:dyDescent="0.2">
      <c r="B28" s="8" t="s">
        <v>521</v>
      </c>
      <c r="C28" s="3"/>
      <c r="D28" s="42">
        <v>47149</v>
      </c>
      <c r="E28" s="4"/>
      <c r="F28" s="9"/>
      <c r="L28" s="15"/>
    </row>
    <row r="29" spans="2:12" x14ac:dyDescent="0.2">
      <c r="B29" s="8"/>
      <c r="C29" s="3"/>
      <c r="D29" s="3"/>
      <c r="E29" s="4"/>
      <c r="F29" s="9"/>
    </row>
    <row r="30" spans="2:12" x14ac:dyDescent="0.2">
      <c r="B30" s="8" t="s">
        <v>537</v>
      </c>
      <c r="C30" s="3"/>
      <c r="D30" s="33" t="str">
        <f>IF(ifname=0,"",ifname)</f>
        <v>O:\130-recepce\recepce\Opera export\prgnp_police_export_new79030306.unl</v>
      </c>
      <c r="E30" s="4"/>
      <c r="F30" s="9"/>
    </row>
    <row r="31" spans="2:12" ht="5.0999999999999996" customHeight="1" x14ac:dyDescent="0.2">
      <c r="B31" s="8"/>
      <c r="C31" s="3"/>
      <c r="D31" s="14"/>
      <c r="E31" s="4"/>
      <c r="F31" s="9"/>
    </row>
    <row r="32" spans="2:12" x14ac:dyDescent="0.2">
      <c r="B32" s="8" t="s">
        <v>538</v>
      </c>
      <c r="C32" s="3"/>
      <c r="D32" s="34" t="str">
        <f>IF(crtime=0,"",crtime)</f>
        <v>2025.07.12 02:01:24</v>
      </c>
      <c r="E32" s="4"/>
      <c r="F32" s="9"/>
      <c r="L32" s="15"/>
    </row>
    <row r="33" spans="2:6" ht="26.25" customHeight="1" x14ac:dyDescent="0.2">
      <c r="B33" s="8"/>
      <c r="C33" s="3"/>
      <c r="D33" s="3"/>
      <c r="E33" s="4"/>
      <c r="F33" s="9"/>
    </row>
    <row r="34" spans="2:6" ht="28.5" customHeight="1" x14ac:dyDescent="0.2">
      <c r="B34" s="8"/>
      <c r="C34" s="3"/>
      <c r="D34" s="3"/>
      <c r="E34" s="4"/>
      <c r="F34" s="9"/>
    </row>
    <row r="35" spans="2:6" x14ac:dyDescent="0.2">
      <c r="B35" s="8"/>
      <c r="C35" s="3"/>
      <c r="D35" s="3"/>
      <c r="E35" s="4"/>
      <c r="F35" s="9"/>
    </row>
    <row r="36" spans="2:6" x14ac:dyDescent="0.2">
      <c r="B36" s="8"/>
      <c r="C36" s="3"/>
      <c r="D36" s="3"/>
      <c r="E36" s="4"/>
      <c r="F36" s="9"/>
    </row>
    <row r="37" spans="2:6" x14ac:dyDescent="0.2">
      <c r="B37" s="10"/>
      <c r="C37" s="11"/>
      <c r="D37" s="11"/>
      <c r="E37" s="12"/>
      <c r="F37" s="13"/>
    </row>
    <row r="39" spans="2:6" hidden="1" x14ac:dyDescent="0.2"/>
    <row r="40" spans="2:6" ht="14.25" hidden="1" customHeight="1" x14ac:dyDescent="0.2"/>
    <row r="41" spans="2:6" hidden="1" x14ac:dyDescent="0.2">
      <c r="B41" s="27" t="s">
        <v>612</v>
      </c>
    </row>
    <row r="42" spans="2:6" hidden="1" x14ac:dyDescent="0.2">
      <c r="B42" s="27" t="s">
        <v>611</v>
      </c>
    </row>
    <row r="43" spans="2:6" hidden="1" x14ac:dyDescent="0.2">
      <c r="B43" s="32" t="s">
        <v>621</v>
      </c>
    </row>
    <row r="44" spans="2:6" hidden="1" x14ac:dyDescent="0.2">
      <c r="B44" s="32" t="s">
        <v>613</v>
      </c>
    </row>
    <row r="45" spans="2:6" hidden="1" x14ac:dyDescent="0.2"/>
  </sheetData>
  <sheetProtection password="D8AF" sheet="1" objects="1" scenarios="1"/>
  <mergeCells count="1">
    <mergeCell ref="B2:F2"/>
  </mergeCells>
  <phoneticPr fontId="0" type="noConversion"/>
  <dataValidations count="15">
    <dataValidation type="date" allowBlank="1" showInputMessage="1" showErrorMessage="1" sqref="D27 D31" xr:uid="{88D11C7D-C5D2-4B53-99E4-FC16A1B42BBA}">
      <formula1>37987</formula1>
      <formula2>43831</formula2>
    </dataValidation>
    <dataValidation type="whole" showInputMessage="1" showErrorMessage="1" sqref="D21" xr:uid="{3FA3B432-0D24-4203-883B-79A4D90332F0}">
      <formula1>1</formula1>
      <formula2>9999</formula2>
    </dataValidation>
    <dataValidation type="textLength" operator="greaterThan" showInputMessage="1" showErrorMessage="1" sqref="D13 D15 D17" xr:uid="{9246A751-5E87-4E22-A05C-C0EF184F1EB9}">
      <formula1>1</formula1>
    </dataValidation>
    <dataValidation type="date" operator="greaterThanOrEqual" allowBlank="1" showInputMessage="1" showErrorMessage="1" promptTitle="Období do" prompt="Konec intervalu povoleného data ubytování. Slouží pro kontrolu vkládaných dat._x000a_Musí být vyšší, než počátek intervalu." sqref="D28" xr:uid="{1C567545-C067-473A-8700-BE29B21DB034}">
      <formula1>D26</formula1>
    </dataValidation>
    <dataValidation type="textLength" showInputMessage="1" showErrorMessage="1" errorTitle="Identifikátor ubytovatele" error="Povinný údaj." promptTitle="Identifikátor ubytovatele" prompt="Zadejte přidělený identifikátor." sqref="D4" xr:uid="{8F67C448-E9E3-417C-9D34-D14FE89B3203}">
      <formula1>2</formula1>
      <formula2>14</formula2>
    </dataValidation>
    <dataValidation type="textLength" allowBlank="1" showInputMessage="1" showErrorMessage="1" error="Nesprávný počet znaků." promptTitle="Kontaktní osoba" prompt="Uveďte i telefon popř. e-mail. _x000a_Maximální dálka 50 znaků." sqref="D10" xr:uid="{ACB119DD-4F4B-44FC-BE31-AEEFFAA722CA}">
      <formula1>1</formula1>
      <formula2>50</formula2>
    </dataValidation>
    <dataValidation type="textLength" showInputMessage="1" showErrorMessage="1" errorTitle="Název ubytovatele" error="Povinný údaj." promptTitle="Název ubytovatele" prompt="Zadejte název ubytovatele. Maximální délka je 35 znaků." sqref="D8" xr:uid="{3BB9D091-3FA7-409A-9485-4AF4E5E120A1}">
      <formula1>1</formula1>
      <formula2>35</formula2>
    </dataValidation>
    <dataValidation type="textLength" showInputMessage="1" showErrorMessage="1" errorTitle="Okres" error="Povinný údaj." promptTitle="Okres" prompt="Zadejte název okresu." sqref="D12" xr:uid="{FB9F4CB9-05A9-4AFD-BC9A-613F1DB13FB2}">
      <formula1>4</formula1>
      <formula2>32</formula2>
    </dataValidation>
    <dataValidation type="textLength" showInputMessage="1" showErrorMessage="1" errorTitle="Obec" error="Povinný údaj." promptTitle="Obec" prompt="Zadejte název obce." sqref="D14" xr:uid="{1DF970FD-D62E-4278-A387-AEADB456A8F8}">
      <formula1>2</formula1>
      <formula2>48</formula2>
    </dataValidation>
    <dataValidation type="textLength" showInputMessage="1" showErrorMessage="1" errorTitle="Část obce" error="Povinný údaj." promptTitle="Část obce" prompt="Zadejte název části obce." sqref="D16" xr:uid="{D83099C7-BB07-4810-AE10-D014F6EE6AC5}">
      <formula1>2</formula1>
      <formula2>48</formula2>
    </dataValidation>
    <dataValidation type="textLength" allowBlank="1" showInputMessage="1" showErrorMessage="1" promptTitle="Ulice" prompt="Zadejte název veřejného prostranství (ulice, náměstí, ...)" sqref="D18" xr:uid="{062DC267-B047-4132-945D-A3C040C14841}">
      <formula1>2</formula1>
      <formula2>48</formula2>
    </dataValidation>
    <dataValidation type="textLength" showInputMessage="1" showErrorMessage="1" errorTitle="Domovní číslo" error="Povinný údaj." promptTitle="Domovní číslo" prompt="Zadejte číslo popisné (hodnoty 1 až 9999), nebo číslo evidenční (hodnoty 1E až 9999E)." sqref="D20" xr:uid="{F23C8737-764B-41E7-9F70-B84FB91BD801}">
      <formula1>1</formula1>
      <formula2>5</formula2>
    </dataValidation>
    <dataValidation type="textLength" allowBlank="1" showInputMessage="1" showErrorMessage="1" promptTitle="Orientační číslo" prompt="Zadejte číslo orientační v rozsahu 1 až 999 případně doplněné znakem čísla orientačního (písmeno a až z)." sqref="D22" xr:uid="{8D3CF55C-93FD-4B89-AD57-68F3A7F86265}">
      <formula1>1</formula1>
      <formula2>4</formula2>
    </dataValidation>
    <dataValidation type="whole" allowBlank="1" showInputMessage="1" showErrorMessage="1" promptTitle="PSČ" prompt="Zadejte pětimístné doručovací poštovní směrovací číslo." sqref="D24" xr:uid="{DA81F2F7-884F-4A32-87F0-FE9EACB40CFE}">
      <formula1>10000</formula1>
      <formula2>99999</formula2>
    </dataValidation>
    <dataValidation type="date" allowBlank="1" showInputMessage="1" showErrorMessage="1" promptTitle="Období od" prompt="Počátek intervalu povoleného data ubytování. Slouží pro kontrolu vkládaných dat." sqref="D26" xr:uid="{3646856A-942A-49E5-A291-F957D1821EA2}">
      <formula1>DATE(2004,1,1)</formula1>
      <formula2>DATE(2020,1,1)</formula2>
    </dataValidation>
  </dataValidations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7" r:id="rId4" name="SameName">
          <controlPr autoLine="0" r:id="rId5">
            <anchor moveWithCells="1">
              <from>
                <xdr:col>1</xdr:col>
                <xdr:colOff>152400</xdr:colOff>
                <xdr:row>32</xdr:row>
                <xdr:rowOff>57150</xdr:rowOff>
              </from>
              <to>
                <xdr:col>3</xdr:col>
                <xdr:colOff>1181100</xdr:colOff>
                <xdr:row>33</xdr:row>
                <xdr:rowOff>28575</xdr:rowOff>
              </to>
            </anchor>
          </controlPr>
        </control>
      </mc:Choice>
      <mc:Fallback>
        <control shapeId="1037" r:id="rId4" name="SameName"/>
      </mc:Fallback>
    </mc:AlternateContent>
    <mc:AlternateContent xmlns:mc="http://schemas.openxmlformats.org/markup-compatibility/2006">
      <mc:Choice Requires="x14">
        <control shapeId="1035" r:id="rId6" name="CheckBoxReadA">
          <controlPr autoLine="0" r:id="rId7">
            <anchor moveWithCells="1">
              <from>
                <xdr:col>1</xdr:col>
                <xdr:colOff>152400</xdr:colOff>
                <xdr:row>32</xdr:row>
                <xdr:rowOff>304800</xdr:rowOff>
              </from>
              <to>
                <xdr:col>3</xdr:col>
                <xdr:colOff>409575</xdr:colOff>
                <xdr:row>33</xdr:row>
                <xdr:rowOff>276225</xdr:rowOff>
              </to>
            </anchor>
          </controlPr>
        </control>
      </mc:Choice>
      <mc:Fallback>
        <control shapeId="1035" r:id="rId6" name="CheckBoxReadA"/>
      </mc:Fallback>
    </mc:AlternateContent>
    <mc:AlternateContent xmlns:mc="http://schemas.openxmlformats.org/markup-compatibility/2006">
      <mc:Choice Requires="x14">
        <control shapeId="1033" r:id="rId8" name="Import">
          <controlPr defaultSize="0" autoLine="0" r:id="rId9">
            <anchor moveWithCells="1">
              <from>
                <xdr:col>1</xdr:col>
                <xdr:colOff>1219200</xdr:colOff>
                <xdr:row>33</xdr:row>
                <xdr:rowOff>304800</xdr:rowOff>
              </from>
              <to>
                <xdr:col>3</xdr:col>
                <xdr:colOff>533400</xdr:colOff>
                <xdr:row>35</xdr:row>
                <xdr:rowOff>104775</xdr:rowOff>
              </to>
            </anchor>
          </controlPr>
        </control>
      </mc:Choice>
      <mc:Fallback>
        <control shapeId="1033" r:id="rId8" name="Import"/>
      </mc:Fallback>
    </mc:AlternateContent>
    <mc:AlternateContent xmlns:mc="http://schemas.openxmlformats.org/markup-compatibility/2006">
      <mc:Choice Requires="x14">
        <control shapeId="1030" r:id="rId10" name="Check">
          <controlPr defaultSize="0" autoFill="0" autoLine="0" r:id="rId11">
            <anchor moveWithCells="1">
              <from>
                <xdr:col>3</xdr:col>
                <xdr:colOff>3105150</xdr:colOff>
                <xdr:row>32</xdr:row>
                <xdr:rowOff>76200</xdr:rowOff>
              </from>
              <to>
                <xdr:col>3</xdr:col>
                <xdr:colOff>4086225</xdr:colOff>
                <xdr:row>33</xdr:row>
                <xdr:rowOff>228600</xdr:rowOff>
              </to>
            </anchor>
          </controlPr>
        </control>
      </mc:Choice>
      <mc:Fallback>
        <control shapeId="1030" r:id="rId10" name="Check"/>
      </mc:Fallback>
    </mc:AlternateContent>
    <mc:AlternateContent xmlns:mc="http://schemas.openxmlformats.org/markup-compatibility/2006">
      <mc:Choice Requires="x14">
        <control shapeId="1029" r:id="rId12" name="Export">
          <controlPr defaultSize="0" autoLine="0" r:id="rId13">
            <anchor moveWithCells="1">
              <from>
                <xdr:col>3</xdr:col>
                <xdr:colOff>2085975</xdr:colOff>
                <xdr:row>33</xdr:row>
                <xdr:rowOff>304800</xdr:rowOff>
              </from>
              <to>
                <xdr:col>3</xdr:col>
                <xdr:colOff>2943225</xdr:colOff>
                <xdr:row>35</xdr:row>
                <xdr:rowOff>104775</xdr:rowOff>
              </to>
            </anchor>
          </controlPr>
        </control>
      </mc:Choice>
      <mc:Fallback>
        <control shapeId="1029" r:id="rId12" name="Export"/>
      </mc:Fallback>
    </mc:AlternateContent>
    <mc:AlternateContent xmlns:mc="http://schemas.openxmlformats.org/markup-compatibility/2006">
      <mc:Choice Requires="x14">
        <control shapeId="1028" r:id="rId14" name="DeleteAll">
          <controlPr defaultSize="0" autoLine="0" r:id="rId15">
            <anchor moveWithCells="1">
              <from>
                <xdr:col>1</xdr:col>
                <xdr:colOff>152400</xdr:colOff>
                <xdr:row>33</xdr:row>
                <xdr:rowOff>304800</xdr:rowOff>
              </from>
              <to>
                <xdr:col>1</xdr:col>
                <xdr:colOff>1009650</xdr:colOff>
                <xdr:row>35</xdr:row>
                <xdr:rowOff>104775</xdr:rowOff>
              </to>
            </anchor>
          </controlPr>
        </control>
      </mc:Choice>
      <mc:Fallback>
        <control shapeId="1028" r:id="rId14" name="DeleteAll"/>
      </mc:Fallback>
    </mc:AlternateContent>
    <mc:AlternateContent xmlns:mc="http://schemas.openxmlformats.org/markup-compatibility/2006">
      <mc:Choice Requires="x14">
        <control shapeId="1025" r:id="rId16" name="Insert">
          <controlPr defaultSize="0" autoLine="0" r:id="rId17">
            <anchor moveWithCells="1">
              <from>
                <xdr:col>3</xdr:col>
                <xdr:colOff>3114675</xdr:colOff>
                <xdr:row>33</xdr:row>
                <xdr:rowOff>304800</xdr:rowOff>
              </from>
              <to>
                <xdr:col>3</xdr:col>
                <xdr:colOff>4086225</xdr:colOff>
                <xdr:row>35</xdr:row>
                <xdr:rowOff>95250</xdr:rowOff>
              </to>
            </anchor>
          </controlPr>
        </control>
      </mc:Choice>
      <mc:Fallback>
        <control shapeId="1025" r:id="rId16" name="Inse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9919-A960-4A48-A9C9-0252D689362E}">
  <sheetPr codeName="List1">
    <pageSetUpPr fitToPage="1"/>
  </sheetPr>
  <dimension ref="A1:P60"/>
  <sheetViews>
    <sheetView zoomScaleNormal="100" workbookViewId="0">
      <pane ySplit="1" topLeftCell="A8" activePane="bottomLeft" state="frozen"/>
      <selection pane="bottomLeft" activeCell="G46" sqref="G46"/>
    </sheetView>
  </sheetViews>
  <sheetFormatPr defaultRowHeight="12.75" x14ac:dyDescent="0.2"/>
  <cols>
    <col min="1" max="1" width="2.7109375" style="25" customWidth="1"/>
    <col min="2" max="3" width="12.28515625" style="41" customWidth="1"/>
    <col min="4" max="5" width="29.140625" style="24" customWidth="1"/>
    <col min="6" max="6" width="4.28515625" style="24" customWidth="1"/>
    <col min="7" max="7" width="11.140625" style="41" customWidth="1"/>
    <col min="8" max="8" width="8" style="24" hidden="1" customWidth="1"/>
    <col min="9" max="9" width="0.42578125" style="24" hidden="1" customWidth="1"/>
    <col min="10" max="10" width="9.5703125" style="24" bestFit="1" customWidth="1"/>
    <col min="11" max="11" width="56.5703125" style="24" customWidth="1"/>
    <col min="12" max="12" width="15.5703125" style="24" bestFit="1" customWidth="1"/>
    <col min="13" max="13" width="25.5703125" style="24" customWidth="1"/>
    <col min="14" max="14" width="12.140625" style="24" customWidth="1"/>
    <col min="15" max="15" width="0.140625" style="24" customWidth="1"/>
    <col min="16" max="16" width="28.42578125" style="24" customWidth="1"/>
    <col min="17" max="17" width="3.28515625" style="26" bestFit="1" customWidth="1"/>
    <col min="18" max="18" width="13.5703125" style="26" bestFit="1" customWidth="1"/>
    <col min="19" max="19" width="7.7109375" style="26" bestFit="1" customWidth="1"/>
    <col min="20" max="20" width="6.5703125" style="26" bestFit="1" customWidth="1"/>
    <col min="21" max="21" width="5.85546875" style="26" bestFit="1" customWidth="1"/>
    <col min="22" max="16384" width="9.140625" style="26"/>
  </cols>
  <sheetData>
    <row r="1" spans="1:16" s="31" customFormat="1" ht="49.5" customHeight="1" x14ac:dyDescent="0.2">
      <c r="A1" s="29" t="s">
        <v>524</v>
      </c>
      <c r="B1" s="40" t="s">
        <v>525</v>
      </c>
      <c r="C1" s="40" t="s">
        <v>526</v>
      </c>
      <c r="D1" s="30" t="s">
        <v>527</v>
      </c>
      <c r="E1" s="30" t="s">
        <v>528</v>
      </c>
      <c r="F1" s="30" t="s">
        <v>529</v>
      </c>
      <c r="G1" s="40" t="s">
        <v>530</v>
      </c>
      <c r="H1" s="30" t="s">
        <v>531</v>
      </c>
      <c r="I1" s="30" t="s">
        <v>532</v>
      </c>
      <c r="J1" s="30" t="s">
        <v>533</v>
      </c>
      <c r="K1" s="30" t="s">
        <v>610</v>
      </c>
      <c r="L1" s="30" t="s">
        <v>534</v>
      </c>
      <c r="M1" s="30" t="s">
        <v>535</v>
      </c>
      <c r="N1" s="45"/>
      <c r="O1" s="30" t="s">
        <v>536</v>
      </c>
      <c r="P1" s="30" t="s">
        <v>597</v>
      </c>
    </row>
    <row r="2" spans="1:16" x14ac:dyDescent="0.2">
      <c r="B2" s="41" t="s">
        <v>619</v>
      </c>
      <c r="C2" s="41" t="s">
        <v>618</v>
      </c>
      <c r="D2" s="24" t="s">
        <v>622</v>
      </c>
      <c r="E2" s="24" t="s">
        <v>623</v>
      </c>
      <c r="F2" s="24" t="s">
        <v>539</v>
      </c>
      <c r="G2" s="41" t="s">
        <v>624</v>
      </c>
      <c r="H2" s="24" t="s">
        <v>539</v>
      </c>
      <c r="I2" s="24" t="s">
        <v>539</v>
      </c>
      <c r="J2" s="24" t="s">
        <v>127</v>
      </c>
      <c r="K2" s="24" t="s">
        <v>625</v>
      </c>
      <c r="L2" s="24" t="s">
        <v>626</v>
      </c>
      <c r="M2" s="24" t="s">
        <v>539</v>
      </c>
      <c r="N2" s="24" t="s">
        <v>587</v>
      </c>
      <c r="O2" s="24" t="s">
        <v>539</v>
      </c>
      <c r="P2" s="24" t="s">
        <v>539</v>
      </c>
    </row>
    <row r="3" spans="1:16" x14ac:dyDescent="0.2">
      <c r="B3" s="41" t="s">
        <v>619</v>
      </c>
      <c r="C3" s="41" t="s">
        <v>618</v>
      </c>
      <c r="D3" s="24" t="s">
        <v>627</v>
      </c>
      <c r="E3" s="24" t="s">
        <v>628</v>
      </c>
      <c r="F3" s="24" t="s">
        <v>539</v>
      </c>
      <c r="G3" s="41" t="s">
        <v>615</v>
      </c>
      <c r="H3" s="24" t="s">
        <v>539</v>
      </c>
      <c r="I3" s="24" t="s">
        <v>539</v>
      </c>
      <c r="J3" s="24" t="s">
        <v>12</v>
      </c>
      <c r="K3" s="24" t="s">
        <v>616</v>
      </c>
      <c r="L3" s="24" t="s">
        <v>617</v>
      </c>
      <c r="M3" s="24" t="s">
        <v>539</v>
      </c>
      <c r="N3" s="24" t="s">
        <v>539</v>
      </c>
      <c r="O3" s="24" t="s">
        <v>539</v>
      </c>
      <c r="P3" s="24" t="s">
        <v>539</v>
      </c>
    </row>
    <row r="4" spans="1:16" x14ac:dyDescent="0.2">
      <c r="B4" s="41" t="s">
        <v>619</v>
      </c>
      <c r="C4" s="41" t="s">
        <v>629</v>
      </c>
      <c r="D4" s="24" t="s">
        <v>630</v>
      </c>
      <c r="E4" s="24" t="s">
        <v>631</v>
      </c>
      <c r="F4" s="24" t="s">
        <v>539</v>
      </c>
      <c r="G4" s="41" t="s">
        <v>632</v>
      </c>
      <c r="H4" s="24" t="s">
        <v>539</v>
      </c>
      <c r="I4" s="24" t="s">
        <v>539</v>
      </c>
      <c r="J4" s="24" t="s">
        <v>116</v>
      </c>
      <c r="K4" s="24" t="s">
        <v>633</v>
      </c>
      <c r="L4" s="24" t="s">
        <v>634</v>
      </c>
      <c r="M4" s="24" t="s">
        <v>539</v>
      </c>
      <c r="N4" s="24" t="s">
        <v>539</v>
      </c>
      <c r="O4" s="24" t="s">
        <v>539</v>
      </c>
      <c r="P4" s="24" t="s">
        <v>539</v>
      </c>
    </row>
    <row r="5" spans="1:16" x14ac:dyDescent="0.2">
      <c r="B5" s="41" t="s">
        <v>619</v>
      </c>
      <c r="C5" s="41" t="s">
        <v>618</v>
      </c>
      <c r="D5" s="24" t="s">
        <v>635</v>
      </c>
      <c r="E5" s="24" t="s">
        <v>636</v>
      </c>
      <c r="F5" s="24" t="s">
        <v>539</v>
      </c>
      <c r="G5" s="41" t="s">
        <v>637</v>
      </c>
      <c r="H5" s="24" t="s">
        <v>539</v>
      </c>
      <c r="I5" s="24" t="s">
        <v>539</v>
      </c>
      <c r="J5" s="24" t="s">
        <v>127</v>
      </c>
      <c r="K5" s="24" t="s">
        <v>638</v>
      </c>
      <c r="L5" s="24" t="s">
        <v>639</v>
      </c>
      <c r="M5" s="24" t="s">
        <v>539</v>
      </c>
      <c r="N5" s="24" t="s">
        <v>587</v>
      </c>
      <c r="O5" s="24" t="s">
        <v>539</v>
      </c>
      <c r="P5" s="24" t="s">
        <v>539</v>
      </c>
    </row>
    <row r="6" spans="1:16" x14ac:dyDescent="0.2">
      <c r="B6" s="41" t="s">
        <v>619</v>
      </c>
      <c r="C6" s="41" t="s">
        <v>629</v>
      </c>
      <c r="D6" s="24" t="s">
        <v>640</v>
      </c>
      <c r="E6" s="24" t="s">
        <v>641</v>
      </c>
      <c r="F6" s="24" t="s">
        <v>539</v>
      </c>
      <c r="G6" s="41" t="s">
        <v>642</v>
      </c>
      <c r="H6" s="24" t="s">
        <v>539</v>
      </c>
      <c r="I6" s="24" t="s">
        <v>539</v>
      </c>
      <c r="J6" s="24" t="s">
        <v>127</v>
      </c>
      <c r="K6" s="24" t="s">
        <v>643</v>
      </c>
      <c r="L6" s="24" t="s">
        <v>644</v>
      </c>
      <c r="M6" s="24" t="s">
        <v>539</v>
      </c>
      <c r="N6" s="24" t="s">
        <v>587</v>
      </c>
      <c r="O6" s="24" t="s">
        <v>539</v>
      </c>
      <c r="P6" s="24" t="s">
        <v>539</v>
      </c>
    </row>
    <row r="7" spans="1:16" x14ac:dyDescent="0.2">
      <c r="B7" s="41" t="s">
        <v>619</v>
      </c>
      <c r="C7" s="41" t="s">
        <v>629</v>
      </c>
      <c r="D7" s="24" t="s">
        <v>645</v>
      </c>
      <c r="E7" s="24" t="s">
        <v>646</v>
      </c>
      <c r="F7" s="24" t="s">
        <v>539</v>
      </c>
      <c r="G7" s="41" t="s">
        <v>647</v>
      </c>
      <c r="H7" s="24" t="s">
        <v>539</v>
      </c>
      <c r="I7" s="24" t="s">
        <v>539</v>
      </c>
      <c r="J7" s="24" t="s">
        <v>127</v>
      </c>
      <c r="K7" s="24" t="s">
        <v>648</v>
      </c>
      <c r="L7" s="24" t="s">
        <v>649</v>
      </c>
      <c r="M7" s="24" t="s">
        <v>539</v>
      </c>
      <c r="N7" s="24" t="s">
        <v>539</v>
      </c>
      <c r="O7" s="24" t="s">
        <v>539</v>
      </c>
      <c r="P7" s="24" t="s">
        <v>539</v>
      </c>
    </row>
    <row r="8" spans="1:16" x14ac:dyDescent="0.2">
      <c r="B8" s="41" t="s">
        <v>619</v>
      </c>
      <c r="C8" s="41" t="s">
        <v>618</v>
      </c>
      <c r="D8" s="24" t="s">
        <v>650</v>
      </c>
      <c r="E8" s="24" t="s">
        <v>651</v>
      </c>
      <c r="F8" s="24" t="s">
        <v>539</v>
      </c>
      <c r="G8" s="41" t="s">
        <v>652</v>
      </c>
      <c r="H8" s="24" t="s">
        <v>539</v>
      </c>
      <c r="I8" s="24" t="s">
        <v>539</v>
      </c>
      <c r="J8" s="24" t="s">
        <v>127</v>
      </c>
      <c r="K8" s="24" t="s">
        <v>653</v>
      </c>
      <c r="L8" s="24" t="s">
        <v>654</v>
      </c>
      <c r="M8" s="24" t="s">
        <v>539</v>
      </c>
      <c r="N8" s="24" t="s">
        <v>539</v>
      </c>
      <c r="O8" s="24" t="s">
        <v>539</v>
      </c>
      <c r="P8" s="24" t="s">
        <v>539</v>
      </c>
    </row>
    <row r="9" spans="1:16" x14ac:dyDescent="0.2">
      <c r="B9" s="41" t="s">
        <v>619</v>
      </c>
      <c r="C9" s="41" t="s">
        <v>618</v>
      </c>
      <c r="D9" s="24" t="s">
        <v>650</v>
      </c>
      <c r="E9" s="24" t="s">
        <v>651</v>
      </c>
      <c r="F9" s="24" t="s">
        <v>539</v>
      </c>
      <c r="G9" s="41" t="s">
        <v>652</v>
      </c>
      <c r="H9" s="24" t="s">
        <v>539</v>
      </c>
      <c r="I9" s="24" t="s">
        <v>539</v>
      </c>
      <c r="J9" s="24" t="s">
        <v>127</v>
      </c>
      <c r="K9" s="24" t="s">
        <v>653</v>
      </c>
      <c r="L9" s="24" t="s">
        <v>654</v>
      </c>
      <c r="M9" s="24" t="s">
        <v>539</v>
      </c>
      <c r="N9" s="24" t="s">
        <v>539</v>
      </c>
      <c r="O9" s="24" t="s">
        <v>539</v>
      </c>
      <c r="P9" s="24" t="s">
        <v>539</v>
      </c>
    </row>
    <row r="10" spans="1:16" x14ac:dyDescent="0.2">
      <c r="B10" s="41" t="s">
        <v>619</v>
      </c>
      <c r="C10" s="41" t="s">
        <v>618</v>
      </c>
      <c r="D10" s="24" t="s">
        <v>655</v>
      </c>
      <c r="E10" s="24" t="s">
        <v>656</v>
      </c>
      <c r="F10" s="24" t="s">
        <v>539</v>
      </c>
      <c r="G10" s="41" t="s">
        <v>657</v>
      </c>
      <c r="H10" s="24" t="s">
        <v>539</v>
      </c>
      <c r="I10" s="24" t="s">
        <v>539</v>
      </c>
      <c r="J10" s="24" t="s">
        <v>137</v>
      </c>
      <c r="K10" s="24" t="s">
        <v>658</v>
      </c>
      <c r="L10" s="24" t="s">
        <v>659</v>
      </c>
      <c r="M10" s="24" t="s">
        <v>539</v>
      </c>
      <c r="N10" s="24" t="s">
        <v>539</v>
      </c>
      <c r="O10" s="24" t="s">
        <v>539</v>
      </c>
      <c r="P10" s="24" t="s">
        <v>539</v>
      </c>
    </row>
    <row r="11" spans="1:16" x14ac:dyDescent="0.2">
      <c r="B11" s="41" t="s">
        <v>619</v>
      </c>
      <c r="C11" s="41" t="s">
        <v>660</v>
      </c>
      <c r="D11" s="24" t="s">
        <v>661</v>
      </c>
      <c r="E11" s="24" t="s">
        <v>662</v>
      </c>
      <c r="F11" s="24" t="s">
        <v>539</v>
      </c>
      <c r="G11" s="41" t="s">
        <v>663</v>
      </c>
      <c r="H11" s="24" t="s">
        <v>539</v>
      </c>
      <c r="I11" s="24" t="s">
        <v>539</v>
      </c>
      <c r="J11" s="24" t="s">
        <v>183</v>
      </c>
      <c r="K11" s="24" t="s">
        <v>664</v>
      </c>
      <c r="L11" s="24" t="s">
        <v>665</v>
      </c>
      <c r="M11" s="24" t="s">
        <v>539</v>
      </c>
      <c r="N11" s="24" t="s">
        <v>539</v>
      </c>
      <c r="O11" s="24" t="s">
        <v>539</v>
      </c>
      <c r="P11" s="24" t="s">
        <v>539</v>
      </c>
    </row>
    <row r="12" spans="1:16" x14ac:dyDescent="0.2">
      <c r="B12" s="41" t="s">
        <v>619</v>
      </c>
      <c r="C12" s="41" t="s">
        <v>629</v>
      </c>
      <c r="D12" s="24" t="s">
        <v>666</v>
      </c>
      <c r="E12" s="24" t="s">
        <v>667</v>
      </c>
      <c r="F12" s="24" t="s">
        <v>539</v>
      </c>
      <c r="G12" s="41" t="s">
        <v>668</v>
      </c>
      <c r="H12" s="24" t="s">
        <v>539</v>
      </c>
      <c r="I12" s="24" t="s">
        <v>539</v>
      </c>
      <c r="J12" s="24" t="s">
        <v>129</v>
      </c>
      <c r="K12" s="24" t="s">
        <v>669</v>
      </c>
      <c r="L12" s="24" t="s">
        <v>670</v>
      </c>
      <c r="M12" s="24" t="s">
        <v>539</v>
      </c>
      <c r="N12" s="24" t="s">
        <v>539</v>
      </c>
      <c r="O12" s="24" t="s">
        <v>539</v>
      </c>
      <c r="P12" s="24" t="s">
        <v>539</v>
      </c>
    </row>
    <row r="13" spans="1:16" x14ac:dyDescent="0.2">
      <c r="B13" s="41" t="s">
        <v>619</v>
      </c>
      <c r="C13" s="41" t="s">
        <v>629</v>
      </c>
      <c r="D13" s="24" t="s">
        <v>666</v>
      </c>
      <c r="E13" s="24" t="s">
        <v>667</v>
      </c>
      <c r="F13" s="24" t="s">
        <v>539</v>
      </c>
      <c r="G13" s="41" t="s">
        <v>668</v>
      </c>
      <c r="H13" s="24" t="s">
        <v>539</v>
      </c>
      <c r="I13" s="24" t="s">
        <v>539</v>
      </c>
      <c r="J13" s="24" t="s">
        <v>129</v>
      </c>
      <c r="K13" s="24" t="s">
        <v>669</v>
      </c>
      <c r="L13" s="24" t="s">
        <v>670</v>
      </c>
      <c r="M13" s="24" t="s">
        <v>539</v>
      </c>
      <c r="N13" s="24" t="s">
        <v>539</v>
      </c>
      <c r="O13" s="24" t="s">
        <v>539</v>
      </c>
      <c r="P13" s="24" t="s">
        <v>539</v>
      </c>
    </row>
    <row r="14" spans="1:16" x14ac:dyDescent="0.2">
      <c r="B14" s="41" t="s">
        <v>619</v>
      </c>
      <c r="C14" s="41" t="s">
        <v>660</v>
      </c>
      <c r="D14" s="24" t="s">
        <v>671</v>
      </c>
      <c r="E14" s="24" t="s">
        <v>672</v>
      </c>
      <c r="F14" s="24" t="s">
        <v>539</v>
      </c>
      <c r="G14" s="41" t="s">
        <v>673</v>
      </c>
      <c r="H14" s="24" t="s">
        <v>539</v>
      </c>
      <c r="I14" s="24" t="s">
        <v>539</v>
      </c>
      <c r="J14" s="24" t="s">
        <v>129</v>
      </c>
      <c r="K14" s="24" t="s">
        <v>674</v>
      </c>
      <c r="L14" s="24" t="s">
        <v>675</v>
      </c>
      <c r="M14" s="24" t="s">
        <v>539</v>
      </c>
      <c r="N14" s="24" t="s">
        <v>539</v>
      </c>
      <c r="O14" s="24" t="s">
        <v>539</v>
      </c>
      <c r="P14" s="24" t="s">
        <v>539</v>
      </c>
    </row>
    <row r="15" spans="1:16" x14ac:dyDescent="0.2">
      <c r="B15" s="41" t="s">
        <v>619</v>
      </c>
      <c r="C15" s="41" t="s">
        <v>660</v>
      </c>
      <c r="D15" s="24" t="s">
        <v>676</v>
      </c>
      <c r="E15" s="24" t="s">
        <v>677</v>
      </c>
      <c r="F15" s="24" t="s">
        <v>539</v>
      </c>
      <c r="G15" s="41" t="s">
        <v>678</v>
      </c>
      <c r="H15" s="24" t="s">
        <v>539</v>
      </c>
      <c r="I15" s="24" t="s">
        <v>539</v>
      </c>
      <c r="J15" s="24" t="s">
        <v>23</v>
      </c>
      <c r="K15" s="24" t="s">
        <v>679</v>
      </c>
      <c r="L15" s="24" t="s">
        <v>680</v>
      </c>
      <c r="M15" s="24" t="s">
        <v>539</v>
      </c>
      <c r="N15" s="24" t="s">
        <v>539</v>
      </c>
      <c r="O15" s="24" t="s">
        <v>539</v>
      </c>
      <c r="P15" s="24" t="s">
        <v>539</v>
      </c>
    </row>
    <row r="16" spans="1:16" x14ac:dyDescent="0.2">
      <c r="B16" s="41" t="s">
        <v>619</v>
      </c>
      <c r="C16" s="41" t="s">
        <v>660</v>
      </c>
      <c r="D16" s="24" t="s">
        <v>681</v>
      </c>
      <c r="E16" s="24" t="s">
        <v>682</v>
      </c>
      <c r="F16" s="24" t="s">
        <v>539</v>
      </c>
      <c r="G16" s="41" t="s">
        <v>683</v>
      </c>
      <c r="H16" s="24" t="s">
        <v>539</v>
      </c>
      <c r="I16" s="24" t="s">
        <v>539</v>
      </c>
      <c r="J16" s="24" t="s">
        <v>183</v>
      </c>
      <c r="K16" s="24" t="s">
        <v>684</v>
      </c>
      <c r="L16" s="24" t="s">
        <v>685</v>
      </c>
      <c r="M16" s="24" t="s">
        <v>686</v>
      </c>
      <c r="N16" s="24" t="s">
        <v>539</v>
      </c>
      <c r="O16" s="24" t="s">
        <v>539</v>
      </c>
      <c r="P16" s="24" t="s">
        <v>539</v>
      </c>
    </row>
    <row r="17" spans="2:16" x14ac:dyDescent="0.2">
      <c r="B17" s="41" t="s">
        <v>619</v>
      </c>
      <c r="C17" s="41" t="s">
        <v>618</v>
      </c>
      <c r="D17" s="24" t="s">
        <v>687</v>
      </c>
      <c r="E17" s="24" t="s">
        <v>688</v>
      </c>
      <c r="F17" s="24" t="s">
        <v>539</v>
      </c>
      <c r="G17" s="41" t="s">
        <v>689</v>
      </c>
      <c r="H17" s="24" t="s">
        <v>539</v>
      </c>
      <c r="I17" s="24" t="s">
        <v>539</v>
      </c>
      <c r="J17" s="24" t="s">
        <v>127</v>
      </c>
      <c r="K17" s="24" t="s">
        <v>690</v>
      </c>
      <c r="L17" s="24" t="s">
        <v>691</v>
      </c>
      <c r="M17" s="24" t="s">
        <v>539</v>
      </c>
      <c r="N17" s="24" t="s">
        <v>587</v>
      </c>
      <c r="O17" s="24" t="s">
        <v>539</v>
      </c>
      <c r="P17" s="24" t="s">
        <v>539</v>
      </c>
    </row>
    <row r="18" spans="2:16" x14ac:dyDescent="0.2">
      <c r="B18" s="41" t="s">
        <v>619</v>
      </c>
      <c r="C18" s="41" t="s">
        <v>629</v>
      </c>
      <c r="D18" s="24" t="s">
        <v>692</v>
      </c>
      <c r="E18" s="24" t="s">
        <v>693</v>
      </c>
      <c r="F18" s="24" t="s">
        <v>539</v>
      </c>
      <c r="G18" s="41" t="s">
        <v>694</v>
      </c>
      <c r="H18" s="24" t="s">
        <v>539</v>
      </c>
      <c r="I18" s="24" t="s">
        <v>539</v>
      </c>
      <c r="J18" s="24" t="s">
        <v>127</v>
      </c>
      <c r="K18" s="24" t="s">
        <v>690</v>
      </c>
      <c r="L18" s="24" t="s">
        <v>695</v>
      </c>
      <c r="M18" s="24" t="s">
        <v>539</v>
      </c>
      <c r="N18" s="24" t="s">
        <v>587</v>
      </c>
      <c r="O18" s="24" t="s">
        <v>539</v>
      </c>
      <c r="P18" s="24" t="s">
        <v>539</v>
      </c>
    </row>
    <row r="19" spans="2:16" x14ac:dyDescent="0.2">
      <c r="B19" s="41" t="s">
        <v>619</v>
      </c>
      <c r="C19" s="41" t="s">
        <v>619</v>
      </c>
      <c r="D19" s="24" t="s">
        <v>696</v>
      </c>
      <c r="E19" s="24" t="s">
        <v>697</v>
      </c>
      <c r="F19" s="24" t="s">
        <v>539</v>
      </c>
      <c r="G19" s="41" t="s">
        <v>698</v>
      </c>
      <c r="H19" s="24" t="s">
        <v>539</v>
      </c>
      <c r="I19" s="24" t="s">
        <v>539</v>
      </c>
      <c r="J19" s="24" t="s">
        <v>148</v>
      </c>
      <c r="K19" s="24" t="s">
        <v>699</v>
      </c>
      <c r="L19" s="24" t="s">
        <v>700</v>
      </c>
      <c r="M19" s="24" t="s">
        <v>539</v>
      </c>
      <c r="N19" s="24" t="s">
        <v>539</v>
      </c>
      <c r="O19" s="24" t="s">
        <v>539</v>
      </c>
      <c r="P19" s="24" t="s">
        <v>539</v>
      </c>
    </row>
    <row r="20" spans="2:16" x14ac:dyDescent="0.2">
      <c r="B20" s="41" t="s">
        <v>619</v>
      </c>
      <c r="C20" s="41" t="s">
        <v>701</v>
      </c>
      <c r="D20" s="24" t="s">
        <v>702</v>
      </c>
      <c r="E20" s="24" t="s">
        <v>703</v>
      </c>
      <c r="F20" s="24" t="s">
        <v>539</v>
      </c>
      <c r="G20" s="41" t="s">
        <v>704</v>
      </c>
      <c r="H20" s="24" t="s">
        <v>539</v>
      </c>
      <c r="I20" s="24" t="s">
        <v>539</v>
      </c>
      <c r="J20" s="24" t="s">
        <v>183</v>
      </c>
      <c r="K20" s="24" t="s">
        <v>705</v>
      </c>
      <c r="L20" s="24" t="s">
        <v>706</v>
      </c>
      <c r="M20" s="24" t="s">
        <v>707</v>
      </c>
      <c r="N20" s="24" t="s">
        <v>539</v>
      </c>
      <c r="O20" s="24" t="s">
        <v>539</v>
      </c>
      <c r="P20" s="24" t="s">
        <v>539</v>
      </c>
    </row>
    <row r="21" spans="2:16" x14ac:dyDescent="0.2">
      <c r="B21" s="41" t="s">
        <v>619</v>
      </c>
      <c r="C21" s="41" t="s">
        <v>660</v>
      </c>
      <c r="D21" s="24" t="s">
        <v>671</v>
      </c>
      <c r="E21" s="24" t="s">
        <v>708</v>
      </c>
      <c r="F21" s="24" t="s">
        <v>539</v>
      </c>
      <c r="G21" s="41" t="s">
        <v>709</v>
      </c>
      <c r="H21" s="24" t="s">
        <v>539</v>
      </c>
      <c r="I21" s="24" t="s">
        <v>539</v>
      </c>
      <c r="J21" s="24" t="s">
        <v>129</v>
      </c>
      <c r="K21" s="24" t="s">
        <v>710</v>
      </c>
      <c r="L21" s="24" t="s">
        <v>711</v>
      </c>
      <c r="M21" s="24" t="s">
        <v>539</v>
      </c>
      <c r="N21" s="24" t="s">
        <v>539</v>
      </c>
      <c r="O21" s="24" t="s">
        <v>539</v>
      </c>
      <c r="P21" s="24" t="s">
        <v>539</v>
      </c>
    </row>
    <row r="22" spans="2:16" x14ac:dyDescent="0.2">
      <c r="B22" s="41" t="s">
        <v>619</v>
      </c>
      <c r="C22" s="41" t="s">
        <v>660</v>
      </c>
      <c r="D22" s="24" t="s">
        <v>671</v>
      </c>
      <c r="E22" s="24" t="s">
        <v>712</v>
      </c>
      <c r="F22" s="24" t="s">
        <v>539</v>
      </c>
      <c r="G22" s="41" t="s">
        <v>713</v>
      </c>
      <c r="H22" s="24" t="s">
        <v>539</v>
      </c>
      <c r="I22" s="24" t="s">
        <v>539</v>
      </c>
      <c r="J22" s="24" t="s">
        <v>129</v>
      </c>
      <c r="K22" s="24" t="s">
        <v>710</v>
      </c>
      <c r="L22" s="24" t="s">
        <v>714</v>
      </c>
      <c r="M22" s="24" t="s">
        <v>539</v>
      </c>
      <c r="N22" s="24" t="s">
        <v>539</v>
      </c>
      <c r="O22" s="24" t="s">
        <v>539</v>
      </c>
      <c r="P22" s="24" t="s">
        <v>539</v>
      </c>
    </row>
    <row r="23" spans="2:16" x14ac:dyDescent="0.2">
      <c r="B23" s="41" t="s">
        <v>619</v>
      </c>
      <c r="C23" s="41" t="s">
        <v>618</v>
      </c>
      <c r="D23" s="24" t="s">
        <v>715</v>
      </c>
      <c r="E23" s="24" t="s">
        <v>716</v>
      </c>
      <c r="F23" s="24" t="s">
        <v>539</v>
      </c>
      <c r="G23" s="41" t="s">
        <v>717</v>
      </c>
      <c r="H23" s="24" t="s">
        <v>539</v>
      </c>
      <c r="I23" s="24" t="s">
        <v>539</v>
      </c>
      <c r="J23" s="24" t="s">
        <v>127</v>
      </c>
      <c r="K23" s="24" t="s">
        <v>718</v>
      </c>
      <c r="L23" s="24" t="s">
        <v>719</v>
      </c>
      <c r="M23" s="24" t="s">
        <v>539</v>
      </c>
      <c r="N23" s="24" t="s">
        <v>539</v>
      </c>
      <c r="O23" s="24" t="s">
        <v>539</v>
      </c>
      <c r="P23" s="24" t="s">
        <v>539</v>
      </c>
    </row>
    <row r="24" spans="2:16" x14ac:dyDescent="0.2">
      <c r="B24" s="41" t="s">
        <v>619</v>
      </c>
      <c r="C24" s="41" t="s">
        <v>618</v>
      </c>
      <c r="D24" s="24" t="s">
        <v>720</v>
      </c>
      <c r="E24" s="24" t="s">
        <v>721</v>
      </c>
      <c r="F24" s="24" t="s">
        <v>539</v>
      </c>
      <c r="G24" s="41" t="s">
        <v>722</v>
      </c>
      <c r="H24" s="24" t="s">
        <v>539</v>
      </c>
      <c r="I24" s="24" t="s">
        <v>539</v>
      </c>
      <c r="J24" s="24" t="s">
        <v>133</v>
      </c>
      <c r="K24" s="24" t="s">
        <v>723</v>
      </c>
      <c r="L24" s="24" t="s">
        <v>724</v>
      </c>
      <c r="M24" s="24" t="s">
        <v>539</v>
      </c>
      <c r="N24" s="24" t="s">
        <v>587</v>
      </c>
      <c r="O24" s="24" t="s">
        <v>539</v>
      </c>
      <c r="P24" s="24" t="s">
        <v>539</v>
      </c>
    </row>
    <row r="25" spans="2:16" x14ac:dyDescent="0.2">
      <c r="B25" s="41" t="s">
        <v>619</v>
      </c>
      <c r="C25" s="41" t="s">
        <v>629</v>
      </c>
      <c r="D25" s="24" t="s">
        <v>725</v>
      </c>
      <c r="E25" s="24" t="s">
        <v>726</v>
      </c>
      <c r="F25" s="24" t="s">
        <v>539</v>
      </c>
      <c r="G25" s="41" t="s">
        <v>727</v>
      </c>
      <c r="H25" s="24" t="s">
        <v>539</v>
      </c>
      <c r="I25" s="24" t="s">
        <v>539</v>
      </c>
      <c r="J25" s="24" t="s">
        <v>130</v>
      </c>
      <c r="K25" s="24" t="s">
        <v>728</v>
      </c>
      <c r="L25" s="24" t="s">
        <v>729</v>
      </c>
      <c r="M25" s="24" t="s">
        <v>539</v>
      </c>
      <c r="N25" s="24" t="s">
        <v>539</v>
      </c>
      <c r="O25" s="24" t="s">
        <v>539</v>
      </c>
      <c r="P25" s="24" t="s">
        <v>539</v>
      </c>
    </row>
    <row r="26" spans="2:16" x14ac:dyDescent="0.2">
      <c r="B26" s="41" t="s">
        <v>619</v>
      </c>
      <c r="C26" s="41" t="s">
        <v>660</v>
      </c>
      <c r="D26" s="24" t="s">
        <v>730</v>
      </c>
      <c r="E26" s="24" t="s">
        <v>731</v>
      </c>
      <c r="F26" s="24" t="s">
        <v>539</v>
      </c>
      <c r="G26" s="41" t="s">
        <v>732</v>
      </c>
      <c r="H26" s="24" t="s">
        <v>539</v>
      </c>
      <c r="I26" s="24" t="s">
        <v>539</v>
      </c>
      <c r="J26" s="24" t="s">
        <v>183</v>
      </c>
      <c r="K26" s="24" t="s">
        <v>733</v>
      </c>
      <c r="L26" s="24" t="s">
        <v>734</v>
      </c>
      <c r="M26" s="24" t="s">
        <v>539</v>
      </c>
      <c r="N26" s="24" t="s">
        <v>539</v>
      </c>
      <c r="O26" s="24" t="s">
        <v>539</v>
      </c>
      <c r="P26" s="24" t="s">
        <v>539</v>
      </c>
    </row>
    <row r="27" spans="2:16" x14ac:dyDescent="0.2">
      <c r="B27" s="41" t="s">
        <v>619</v>
      </c>
      <c r="C27" s="41" t="s">
        <v>660</v>
      </c>
      <c r="D27" s="24" t="s">
        <v>735</v>
      </c>
      <c r="E27" s="24" t="s">
        <v>736</v>
      </c>
      <c r="F27" s="24" t="s">
        <v>539</v>
      </c>
      <c r="G27" s="41" t="s">
        <v>737</v>
      </c>
      <c r="H27" s="24" t="s">
        <v>539</v>
      </c>
      <c r="I27" s="24" t="s">
        <v>539</v>
      </c>
      <c r="J27" s="24" t="s">
        <v>23</v>
      </c>
      <c r="K27" s="24" t="s">
        <v>738</v>
      </c>
      <c r="L27" s="24" t="s">
        <v>739</v>
      </c>
      <c r="M27" s="24" t="s">
        <v>539</v>
      </c>
      <c r="N27" s="24" t="s">
        <v>539</v>
      </c>
      <c r="O27" s="24" t="s">
        <v>539</v>
      </c>
      <c r="P27" s="24" t="s">
        <v>539</v>
      </c>
    </row>
    <row r="28" spans="2:16" x14ac:dyDescent="0.2">
      <c r="B28" s="41" t="s">
        <v>619</v>
      </c>
      <c r="C28" s="41" t="s">
        <v>618</v>
      </c>
      <c r="D28" s="24" t="s">
        <v>740</v>
      </c>
      <c r="E28" s="24" t="s">
        <v>741</v>
      </c>
      <c r="F28" s="24" t="s">
        <v>539</v>
      </c>
      <c r="G28" s="41" t="s">
        <v>742</v>
      </c>
      <c r="H28" s="24" t="s">
        <v>539</v>
      </c>
      <c r="I28" s="24" t="s">
        <v>539</v>
      </c>
      <c r="J28" s="24" t="s">
        <v>127</v>
      </c>
      <c r="K28" s="24" t="s">
        <v>718</v>
      </c>
      <c r="L28" s="24" t="s">
        <v>743</v>
      </c>
      <c r="M28" s="24" t="s">
        <v>539</v>
      </c>
      <c r="N28" s="24" t="s">
        <v>539</v>
      </c>
      <c r="O28" s="24" t="s">
        <v>539</v>
      </c>
      <c r="P28" s="24" t="s">
        <v>539</v>
      </c>
    </row>
    <row r="29" spans="2:16" x14ac:dyDescent="0.2">
      <c r="B29" s="41" t="s">
        <v>619</v>
      </c>
      <c r="C29" s="41" t="s">
        <v>618</v>
      </c>
      <c r="D29" s="24" t="s">
        <v>744</v>
      </c>
      <c r="E29" s="24" t="s">
        <v>745</v>
      </c>
      <c r="F29" s="24" t="s">
        <v>539</v>
      </c>
      <c r="G29" s="41" t="s">
        <v>746</v>
      </c>
      <c r="H29" s="24" t="s">
        <v>539</v>
      </c>
      <c r="I29" s="24" t="s">
        <v>539</v>
      </c>
      <c r="J29" s="24" t="s">
        <v>127</v>
      </c>
      <c r="K29" s="24" t="s">
        <v>718</v>
      </c>
      <c r="L29" s="24" t="s">
        <v>747</v>
      </c>
      <c r="M29" s="24" t="s">
        <v>539</v>
      </c>
      <c r="N29" s="24" t="s">
        <v>539</v>
      </c>
      <c r="O29" s="24" t="s">
        <v>539</v>
      </c>
      <c r="P29" s="24" t="s">
        <v>539</v>
      </c>
    </row>
    <row r="30" spans="2:16" x14ac:dyDescent="0.2">
      <c r="B30" s="41" t="s">
        <v>619</v>
      </c>
      <c r="C30" s="41" t="s">
        <v>629</v>
      </c>
      <c r="D30" s="24" t="s">
        <v>748</v>
      </c>
      <c r="E30" s="24" t="s">
        <v>749</v>
      </c>
      <c r="F30" s="24" t="s">
        <v>539</v>
      </c>
      <c r="G30" s="41" t="s">
        <v>750</v>
      </c>
      <c r="H30" s="24" t="s">
        <v>539</v>
      </c>
      <c r="I30" s="24" t="s">
        <v>539</v>
      </c>
      <c r="J30" s="24" t="s">
        <v>183</v>
      </c>
      <c r="K30" s="24" t="s">
        <v>733</v>
      </c>
      <c r="L30" s="24" t="s">
        <v>751</v>
      </c>
      <c r="M30" s="24" t="s">
        <v>539</v>
      </c>
      <c r="N30" s="24" t="s">
        <v>587</v>
      </c>
      <c r="O30" s="24" t="s">
        <v>539</v>
      </c>
      <c r="P30" s="24" t="s">
        <v>539</v>
      </c>
    </row>
    <row r="31" spans="2:16" x14ac:dyDescent="0.2">
      <c r="B31" s="41" t="s">
        <v>619</v>
      </c>
      <c r="C31" s="41" t="s">
        <v>629</v>
      </c>
      <c r="D31" s="24" t="s">
        <v>666</v>
      </c>
      <c r="E31" s="24" t="s">
        <v>752</v>
      </c>
      <c r="F31" s="24" t="s">
        <v>539</v>
      </c>
      <c r="G31" s="41" t="s">
        <v>753</v>
      </c>
      <c r="H31" s="24" t="s">
        <v>539</v>
      </c>
      <c r="I31" s="24" t="s">
        <v>539</v>
      </c>
      <c r="J31" s="24" t="s">
        <v>129</v>
      </c>
      <c r="K31" s="24" t="s">
        <v>710</v>
      </c>
      <c r="L31" s="24" t="s">
        <v>754</v>
      </c>
      <c r="M31" s="24" t="s">
        <v>539</v>
      </c>
      <c r="N31" s="24" t="s">
        <v>539</v>
      </c>
      <c r="O31" s="24" t="s">
        <v>539</v>
      </c>
      <c r="P31" s="24" t="s">
        <v>539</v>
      </c>
    </row>
    <row r="32" spans="2:16" x14ac:dyDescent="0.2">
      <c r="B32" s="41" t="s">
        <v>619</v>
      </c>
      <c r="C32" s="41" t="s">
        <v>660</v>
      </c>
      <c r="D32" s="24" t="s">
        <v>755</v>
      </c>
      <c r="E32" s="24" t="s">
        <v>756</v>
      </c>
      <c r="F32" s="24" t="s">
        <v>539</v>
      </c>
      <c r="G32" s="41" t="s">
        <v>757</v>
      </c>
      <c r="H32" s="24" t="s">
        <v>539</v>
      </c>
      <c r="I32" s="24" t="s">
        <v>539</v>
      </c>
      <c r="J32" s="24" t="s">
        <v>32</v>
      </c>
      <c r="K32" s="24" t="s">
        <v>758</v>
      </c>
      <c r="L32" s="24" t="s">
        <v>759</v>
      </c>
      <c r="M32" s="24" t="s">
        <v>539</v>
      </c>
      <c r="N32" s="24" t="s">
        <v>539</v>
      </c>
      <c r="O32" s="24" t="s">
        <v>539</v>
      </c>
      <c r="P32" s="24" t="s">
        <v>539</v>
      </c>
    </row>
    <row r="33" spans="2:16" x14ac:dyDescent="0.2">
      <c r="B33" s="41" t="s">
        <v>619</v>
      </c>
      <c r="C33" s="41" t="s">
        <v>660</v>
      </c>
      <c r="D33" s="24" t="s">
        <v>760</v>
      </c>
      <c r="E33" s="24" t="s">
        <v>761</v>
      </c>
      <c r="F33" s="24" t="s">
        <v>539</v>
      </c>
      <c r="G33" s="41" t="s">
        <v>762</v>
      </c>
      <c r="H33" s="24" t="s">
        <v>539</v>
      </c>
      <c r="I33" s="24" t="s">
        <v>539</v>
      </c>
      <c r="J33" s="24" t="s">
        <v>6</v>
      </c>
      <c r="K33" s="24" t="s">
        <v>763</v>
      </c>
      <c r="L33" s="24" t="s">
        <v>764</v>
      </c>
      <c r="M33" s="24" t="s">
        <v>539</v>
      </c>
      <c r="N33" s="24" t="s">
        <v>539</v>
      </c>
      <c r="O33" s="24" t="s">
        <v>539</v>
      </c>
      <c r="P33" s="24" t="s">
        <v>539</v>
      </c>
    </row>
    <row r="34" spans="2:16" x14ac:dyDescent="0.2">
      <c r="B34" s="41" t="s">
        <v>619</v>
      </c>
      <c r="C34" s="41" t="s">
        <v>701</v>
      </c>
      <c r="D34" s="24" t="s">
        <v>765</v>
      </c>
      <c r="E34" s="24" t="s">
        <v>766</v>
      </c>
      <c r="F34" s="24" t="s">
        <v>539</v>
      </c>
      <c r="G34" s="41" t="s">
        <v>767</v>
      </c>
      <c r="H34" s="24" t="s">
        <v>539</v>
      </c>
      <c r="I34" s="24" t="s">
        <v>539</v>
      </c>
      <c r="J34" s="24" t="s">
        <v>115</v>
      </c>
      <c r="K34" s="24" t="s">
        <v>768</v>
      </c>
      <c r="L34" s="24" t="s">
        <v>769</v>
      </c>
      <c r="M34" s="24" t="s">
        <v>539</v>
      </c>
      <c r="N34" s="24" t="s">
        <v>539</v>
      </c>
      <c r="O34" s="24" t="s">
        <v>539</v>
      </c>
      <c r="P34" s="24" t="s">
        <v>539</v>
      </c>
    </row>
    <row r="35" spans="2:16" x14ac:dyDescent="0.2">
      <c r="B35" s="41" t="s">
        <v>619</v>
      </c>
      <c r="C35" s="41" t="s">
        <v>660</v>
      </c>
      <c r="D35" s="24" t="s">
        <v>770</v>
      </c>
      <c r="E35" s="24" t="s">
        <v>771</v>
      </c>
      <c r="F35" s="24" t="s">
        <v>539</v>
      </c>
      <c r="G35" s="41" t="s">
        <v>772</v>
      </c>
      <c r="H35" s="24" t="s">
        <v>539</v>
      </c>
      <c r="I35" s="24" t="s">
        <v>539</v>
      </c>
      <c r="J35" s="24" t="s">
        <v>158</v>
      </c>
      <c r="K35" s="24" t="s">
        <v>773</v>
      </c>
      <c r="L35" s="24" t="s">
        <v>774</v>
      </c>
      <c r="M35" s="24" t="s">
        <v>775</v>
      </c>
      <c r="N35" s="24" t="s">
        <v>539</v>
      </c>
      <c r="O35" s="24" t="s">
        <v>539</v>
      </c>
      <c r="P35" s="24" t="s">
        <v>539</v>
      </c>
    </row>
    <row r="36" spans="2:16" x14ac:dyDescent="0.2">
      <c r="B36" s="41" t="s">
        <v>619</v>
      </c>
      <c r="C36" s="41" t="s">
        <v>660</v>
      </c>
      <c r="D36" s="24" t="s">
        <v>776</v>
      </c>
      <c r="E36" s="24" t="s">
        <v>777</v>
      </c>
      <c r="F36" s="24" t="s">
        <v>539</v>
      </c>
      <c r="G36" s="41" t="s">
        <v>778</v>
      </c>
      <c r="H36" s="24" t="s">
        <v>539</v>
      </c>
      <c r="I36" s="24" t="s">
        <v>539</v>
      </c>
      <c r="J36" s="24" t="s">
        <v>158</v>
      </c>
      <c r="K36" s="24" t="s">
        <v>773</v>
      </c>
      <c r="L36" s="24" t="s">
        <v>779</v>
      </c>
      <c r="M36" s="24" t="s">
        <v>539</v>
      </c>
      <c r="N36" s="24" t="s">
        <v>539</v>
      </c>
      <c r="O36" s="24" t="s">
        <v>539</v>
      </c>
      <c r="P36" s="24" t="s">
        <v>539</v>
      </c>
    </row>
    <row r="37" spans="2:16" x14ac:dyDescent="0.2">
      <c r="B37" s="41" t="s">
        <v>619</v>
      </c>
      <c r="C37" s="41" t="s">
        <v>660</v>
      </c>
      <c r="D37" s="24" t="s">
        <v>671</v>
      </c>
      <c r="E37" s="24" t="s">
        <v>780</v>
      </c>
      <c r="F37" s="24" t="s">
        <v>539</v>
      </c>
      <c r="G37" s="41" t="s">
        <v>781</v>
      </c>
      <c r="H37" s="24" t="s">
        <v>539</v>
      </c>
      <c r="I37" s="24" t="s">
        <v>539</v>
      </c>
      <c r="J37" s="24" t="s">
        <v>129</v>
      </c>
      <c r="K37" s="24" t="s">
        <v>710</v>
      </c>
      <c r="L37" s="24" t="s">
        <v>782</v>
      </c>
      <c r="M37" s="24" t="s">
        <v>539</v>
      </c>
      <c r="N37" s="24" t="s">
        <v>539</v>
      </c>
      <c r="O37" s="24" t="s">
        <v>539</v>
      </c>
      <c r="P37" s="24" t="s">
        <v>539</v>
      </c>
    </row>
    <row r="38" spans="2:16" x14ac:dyDescent="0.2">
      <c r="B38" s="41" t="s">
        <v>619</v>
      </c>
      <c r="C38" s="41" t="s">
        <v>660</v>
      </c>
      <c r="D38" s="24" t="s">
        <v>783</v>
      </c>
      <c r="E38" s="24" t="s">
        <v>784</v>
      </c>
      <c r="F38" s="24" t="s">
        <v>539</v>
      </c>
      <c r="G38" s="41" t="s">
        <v>785</v>
      </c>
      <c r="H38" s="24" t="s">
        <v>539</v>
      </c>
      <c r="I38" s="24" t="s">
        <v>539</v>
      </c>
      <c r="J38" s="24" t="s">
        <v>101</v>
      </c>
      <c r="K38" s="24" t="s">
        <v>786</v>
      </c>
      <c r="L38" s="24" t="s">
        <v>787</v>
      </c>
      <c r="M38" s="24" t="s">
        <v>539</v>
      </c>
      <c r="N38" s="24" t="s">
        <v>587</v>
      </c>
      <c r="O38" s="24" t="s">
        <v>539</v>
      </c>
      <c r="P38" s="24" t="s">
        <v>539</v>
      </c>
    </row>
    <row r="39" spans="2:16" x14ac:dyDescent="0.2">
      <c r="B39" s="41" t="s">
        <v>619</v>
      </c>
      <c r="C39" s="41" t="s">
        <v>660</v>
      </c>
      <c r="D39" s="24" t="s">
        <v>783</v>
      </c>
      <c r="E39" s="24" t="s">
        <v>641</v>
      </c>
      <c r="F39" s="24" t="s">
        <v>539</v>
      </c>
      <c r="G39" s="41" t="s">
        <v>788</v>
      </c>
      <c r="H39" s="24" t="s">
        <v>539</v>
      </c>
      <c r="I39" s="24" t="s">
        <v>539</v>
      </c>
      <c r="J39" s="24" t="s">
        <v>101</v>
      </c>
      <c r="K39" s="24" t="s">
        <v>786</v>
      </c>
      <c r="L39" s="24" t="s">
        <v>789</v>
      </c>
      <c r="M39" s="24" t="s">
        <v>539</v>
      </c>
      <c r="N39" s="24" t="s">
        <v>539</v>
      </c>
      <c r="O39" s="24" t="s">
        <v>539</v>
      </c>
      <c r="P39" s="24" t="s">
        <v>539</v>
      </c>
    </row>
    <row r="40" spans="2:16" x14ac:dyDescent="0.2">
      <c r="B40" s="41" t="s">
        <v>619</v>
      </c>
      <c r="C40" s="41" t="s">
        <v>618</v>
      </c>
      <c r="D40" s="24" t="s">
        <v>790</v>
      </c>
      <c r="E40" s="24" t="s">
        <v>791</v>
      </c>
      <c r="F40" s="24" t="s">
        <v>539</v>
      </c>
      <c r="G40" s="41" t="s">
        <v>792</v>
      </c>
      <c r="H40" s="24" t="s">
        <v>539</v>
      </c>
      <c r="I40" s="24" t="s">
        <v>539</v>
      </c>
      <c r="J40" s="24" t="s">
        <v>137</v>
      </c>
      <c r="K40" s="24" t="s">
        <v>793</v>
      </c>
      <c r="L40" s="24" t="s">
        <v>794</v>
      </c>
      <c r="M40" s="24" t="s">
        <v>539</v>
      </c>
      <c r="N40" s="24" t="s">
        <v>539</v>
      </c>
      <c r="O40" s="24" t="s">
        <v>539</v>
      </c>
      <c r="P40" s="24" t="s">
        <v>539</v>
      </c>
    </row>
    <row r="41" spans="2:16" x14ac:dyDescent="0.2">
      <c r="B41" s="41" t="s">
        <v>619</v>
      </c>
      <c r="C41" s="41" t="s">
        <v>618</v>
      </c>
      <c r="D41" s="24" t="s">
        <v>795</v>
      </c>
      <c r="E41" s="24" t="s">
        <v>796</v>
      </c>
      <c r="F41" s="24" t="s">
        <v>539</v>
      </c>
      <c r="G41" s="41" t="s">
        <v>797</v>
      </c>
      <c r="H41" s="24" t="s">
        <v>539</v>
      </c>
      <c r="I41" s="24" t="s">
        <v>539</v>
      </c>
      <c r="J41" s="24" t="s">
        <v>106</v>
      </c>
      <c r="K41" s="24" t="s">
        <v>798</v>
      </c>
      <c r="L41" s="24" t="s">
        <v>799</v>
      </c>
      <c r="M41" s="24" t="s">
        <v>539</v>
      </c>
      <c r="N41" s="24" t="s">
        <v>539</v>
      </c>
      <c r="O41" s="24" t="s">
        <v>539</v>
      </c>
      <c r="P41" s="24" t="s">
        <v>539</v>
      </c>
    </row>
    <row r="42" spans="2:16" x14ac:dyDescent="0.2">
      <c r="B42" s="41" t="s">
        <v>619</v>
      </c>
      <c r="C42" s="41" t="s">
        <v>701</v>
      </c>
      <c r="D42" s="24" t="s">
        <v>765</v>
      </c>
      <c r="E42" s="24" t="s">
        <v>800</v>
      </c>
      <c r="F42" s="24" t="s">
        <v>539</v>
      </c>
      <c r="G42" s="41" t="s">
        <v>801</v>
      </c>
      <c r="H42" s="24" t="s">
        <v>539</v>
      </c>
      <c r="I42" s="24" t="s">
        <v>539</v>
      </c>
      <c r="J42" s="24" t="s">
        <v>115</v>
      </c>
      <c r="K42" s="24" t="s">
        <v>802</v>
      </c>
      <c r="L42" s="24" t="s">
        <v>803</v>
      </c>
      <c r="M42" s="24" t="s">
        <v>539</v>
      </c>
      <c r="N42" s="24" t="s">
        <v>539</v>
      </c>
      <c r="O42" s="24" t="s">
        <v>539</v>
      </c>
      <c r="P42" s="24" t="s">
        <v>539</v>
      </c>
    </row>
    <row r="43" spans="2:16" x14ac:dyDescent="0.2">
      <c r="B43" s="41" t="s">
        <v>619</v>
      </c>
      <c r="C43" s="41" t="s">
        <v>618</v>
      </c>
      <c r="D43" s="24" t="s">
        <v>804</v>
      </c>
      <c r="E43" s="24" t="s">
        <v>805</v>
      </c>
      <c r="F43" s="24" t="s">
        <v>539</v>
      </c>
      <c r="G43" s="41" t="s">
        <v>806</v>
      </c>
      <c r="H43" s="24" t="s">
        <v>539</v>
      </c>
      <c r="I43" s="24" t="s">
        <v>539</v>
      </c>
      <c r="J43" s="24" t="s">
        <v>71</v>
      </c>
      <c r="K43" s="24" t="s">
        <v>807</v>
      </c>
      <c r="L43" s="24" t="s">
        <v>808</v>
      </c>
      <c r="M43" s="24" t="s">
        <v>539</v>
      </c>
      <c r="N43" s="24" t="s">
        <v>587</v>
      </c>
      <c r="O43" s="24" t="s">
        <v>539</v>
      </c>
      <c r="P43" s="24" t="s">
        <v>539</v>
      </c>
    </row>
    <row r="44" spans="2:16" x14ac:dyDescent="0.2">
      <c r="B44" s="41" t="s">
        <v>619</v>
      </c>
      <c r="C44" s="41" t="s">
        <v>660</v>
      </c>
      <c r="D44" s="24" t="s">
        <v>809</v>
      </c>
      <c r="E44" s="24" t="s">
        <v>810</v>
      </c>
      <c r="F44" s="24" t="s">
        <v>539</v>
      </c>
      <c r="G44" s="41" t="s">
        <v>811</v>
      </c>
      <c r="H44" s="24" t="s">
        <v>539</v>
      </c>
      <c r="I44" s="24" t="s">
        <v>539</v>
      </c>
      <c r="J44" s="24" t="s">
        <v>101</v>
      </c>
      <c r="K44" s="24" t="s">
        <v>786</v>
      </c>
      <c r="L44" s="24" t="s">
        <v>812</v>
      </c>
      <c r="M44" s="24" t="s">
        <v>539</v>
      </c>
      <c r="N44" s="24" t="s">
        <v>587</v>
      </c>
      <c r="O44" s="24" t="s">
        <v>539</v>
      </c>
      <c r="P44" s="24" t="s">
        <v>539</v>
      </c>
    </row>
    <row r="45" spans="2:16" x14ac:dyDescent="0.2">
      <c r="B45" s="41" t="s">
        <v>619</v>
      </c>
      <c r="C45" s="41" t="s">
        <v>660</v>
      </c>
      <c r="D45" s="24" t="s">
        <v>809</v>
      </c>
      <c r="E45" s="24" t="s">
        <v>813</v>
      </c>
      <c r="F45" s="24" t="s">
        <v>539</v>
      </c>
      <c r="G45" s="41" t="s">
        <v>814</v>
      </c>
      <c r="H45" s="24" t="s">
        <v>539</v>
      </c>
      <c r="I45" s="24" t="s">
        <v>539</v>
      </c>
      <c r="J45" s="24" t="s">
        <v>101</v>
      </c>
      <c r="K45" s="24" t="s">
        <v>786</v>
      </c>
      <c r="L45" s="24" t="s">
        <v>815</v>
      </c>
      <c r="M45" s="24" t="s">
        <v>539</v>
      </c>
      <c r="N45" s="24" t="s">
        <v>539</v>
      </c>
      <c r="O45" s="24" t="s">
        <v>539</v>
      </c>
      <c r="P45" s="24" t="s">
        <v>539</v>
      </c>
    </row>
    <row r="46" spans="2:16" x14ac:dyDescent="0.2">
      <c r="B46" s="41" t="s">
        <v>619</v>
      </c>
      <c r="C46" s="41" t="s">
        <v>618</v>
      </c>
      <c r="D46" s="24" t="s">
        <v>816</v>
      </c>
      <c r="E46" s="24" t="s">
        <v>817</v>
      </c>
      <c r="F46" s="24" t="s">
        <v>539</v>
      </c>
      <c r="G46" s="41" t="s">
        <v>818</v>
      </c>
      <c r="H46" s="24" t="s">
        <v>539</v>
      </c>
      <c r="I46" s="24" t="s">
        <v>539</v>
      </c>
      <c r="J46" s="24" t="s">
        <v>129</v>
      </c>
      <c r="K46" s="24" t="s">
        <v>614</v>
      </c>
      <c r="L46" s="24" t="s">
        <v>819</v>
      </c>
      <c r="M46" s="24" t="s">
        <v>539</v>
      </c>
      <c r="N46" s="24" t="s">
        <v>539</v>
      </c>
      <c r="O46" s="24" t="s">
        <v>539</v>
      </c>
      <c r="P46" s="24" t="s">
        <v>539</v>
      </c>
    </row>
    <row r="47" spans="2:16" x14ac:dyDescent="0.2">
      <c r="B47" s="41" t="s">
        <v>619</v>
      </c>
      <c r="C47" s="41" t="s">
        <v>618</v>
      </c>
      <c r="D47" s="24" t="s">
        <v>820</v>
      </c>
      <c r="E47" s="24" t="s">
        <v>821</v>
      </c>
      <c r="F47" s="24" t="s">
        <v>539</v>
      </c>
      <c r="G47" s="41" t="s">
        <v>822</v>
      </c>
      <c r="H47" s="24" t="s">
        <v>539</v>
      </c>
      <c r="I47" s="24" t="s">
        <v>539</v>
      </c>
      <c r="J47" s="24" t="s">
        <v>106</v>
      </c>
      <c r="K47" s="24" t="s">
        <v>823</v>
      </c>
      <c r="L47" s="24" t="s">
        <v>824</v>
      </c>
      <c r="M47" s="24" t="s">
        <v>539</v>
      </c>
      <c r="N47" s="24" t="s">
        <v>539</v>
      </c>
      <c r="O47" s="24" t="s">
        <v>539</v>
      </c>
      <c r="P47" s="24" t="s">
        <v>539</v>
      </c>
    </row>
    <row r="48" spans="2:16" x14ac:dyDescent="0.2">
      <c r="B48" s="41" t="s">
        <v>619</v>
      </c>
      <c r="C48" s="41" t="s">
        <v>629</v>
      </c>
      <c r="D48" s="24" t="s">
        <v>825</v>
      </c>
      <c r="E48" s="24" t="s">
        <v>826</v>
      </c>
      <c r="F48" s="24" t="s">
        <v>539</v>
      </c>
      <c r="G48" s="41" t="s">
        <v>827</v>
      </c>
      <c r="H48" s="24" t="s">
        <v>539</v>
      </c>
      <c r="I48" s="24" t="s">
        <v>539</v>
      </c>
      <c r="J48" s="24" t="s">
        <v>116</v>
      </c>
      <c r="K48" s="24" t="s">
        <v>828</v>
      </c>
      <c r="L48" s="24" t="s">
        <v>829</v>
      </c>
      <c r="M48" s="24" t="s">
        <v>539</v>
      </c>
      <c r="N48" s="24" t="s">
        <v>539</v>
      </c>
      <c r="O48" s="24" t="s">
        <v>539</v>
      </c>
      <c r="P48" s="24" t="s">
        <v>539</v>
      </c>
    </row>
    <row r="49" spans="2:16" x14ac:dyDescent="0.2">
      <c r="B49" s="41" t="s">
        <v>619</v>
      </c>
      <c r="C49" s="41" t="s">
        <v>629</v>
      </c>
      <c r="D49" s="24" t="s">
        <v>830</v>
      </c>
      <c r="E49" s="24" t="s">
        <v>831</v>
      </c>
      <c r="F49" s="24" t="s">
        <v>539</v>
      </c>
      <c r="G49" s="41" t="s">
        <v>832</v>
      </c>
      <c r="H49" s="24" t="s">
        <v>539</v>
      </c>
      <c r="I49" s="24" t="s">
        <v>539</v>
      </c>
      <c r="J49" s="24" t="s">
        <v>161</v>
      </c>
      <c r="K49" s="24" t="s">
        <v>833</v>
      </c>
      <c r="L49" s="24" t="s">
        <v>834</v>
      </c>
      <c r="M49" s="24" t="s">
        <v>539</v>
      </c>
      <c r="N49" s="24" t="s">
        <v>539</v>
      </c>
      <c r="O49" s="24" t="s">
        <v>539</v>
      </c>
      <c r="P49" s="24" t="s">
        <v>539</v>
      </c>
    </row>
    <row r="50" spans="2:16" x14ac:dyDescent="0.2">
      <c r="B50" s="41" t="s">
        <v>619</v>
      </c>
      <c r="C50" s="41" t="s">
        <v>660</v>
      </c>
      <c r="D50" s="24" t="s">
        <v>835</v>
      </c>
      <c r="E50" s="24" t="s">
        <v>836</v>
      </c>
      <c r="F50" s="24" t="s">
        <v>539</v>
      </c>
      <c r="G50" s="41" t="s">
        <v>837</v>
      </c>
      <c r="H50" s="24" t="s">
        <v>539</v>
      </c>
      <c r="I50" s="24" t="s">
        <v>539</v>
      </c>
      <c r="J50" s="24" t="s">
        <v>19</v>
      </c>
      <c r="K50" s="24" t="s">
        <v>838</v>
      </c>
      <c r="L50" s="24" t="s">
        <v>839</v>
      </c>
      <c r="M50" s="24" t="s">
        <v>539</v>
      </c>
      <c r="N50" s="24" t="s">
        <v>587</v>
      </c>
      <c r="O50" s="24" t="s">
        <v>539</v>
      </c>
      <c r="P50" s="24" t="s">
        <v>539</v>
      </c>
    </row>
    <row r="51" spans="2:16" x14ac:dyDescent="0.2">
      <c r="B51" s="41" t="s">
        <v>619</v>
      </c>
      <c r="C51" s="41" t="s">
        <v>629</v>
      </c>
      <c r="D51" s="24" t="s">
        <v>666</v>
      </c>
      <c r="E51" s="24" t="s">
        <v>840</v>
      </c>
      <c r="F51" s="24" t="s">
        <v>539</v>
      </c>
      <c r="G51" s="41" t="s">
        <v>841</v>
      </c>
      <c r="H51" s="24" t="s">
        <v>539</v>
      </c>
      <c r="I51" s="24" t="s">
        <v>539</v>
      </c>
      <c r="J51" s="24" t="s">
        <v>129</v>
      </c>
      <c r="K51" s="24" t="s">
        <v>710</v>
      </c>
      <c r="L51" s="24" t="s">
        <v>842</v>
      </c>
      <c r="M51" s="24" t="s">
        <v>539</v>
      </c>
      <c r="N51" s="24" t="s">
        <v>539</v>
      </c>
      <c r="O51" s="24" t="s">
        <v>539</v>
      </c>
      <c r="P51" s="24" t="s">
        <v>539</v>
      </c>
    </row>
    <row r="52" spans="2:16" x14ac:dyDescent="0.2">
      <c r="B52" s="41" t="s">
        <v>619</v>
      </c>
      <c r="C52" s="41" t="s">
        <v>618</v>
      </c>
      <c r="D52" s="24" t="s">
        <v>843</v>
      </c>
      <c r="E52" s="24" t="s">
        <v>844</v>
      </c>
      <c r="F52" s="24" t="s">
        <v>539</v>
      </c>
      <c r="G52" s="41" t="s">
        <v>845</v>
      </c>
      <c r="H52" s="24" t="s">
        <v>539</v>
      </c>
      <c r="I52" s="24" t="s">
        <v>539</v>
      </c>
      <c r="J52" s="24" t="s">
        <v>101</v>
      </c>
      <c r="K52" s="24" t="s">
        <v>620</v>
      </c>
      <c r="L52" s="24" t="s">
        <v>846</v>
      </c>
      <c r="M52" s="24" t="s">
        <v>539</v>
      </c>
      <c r="N52" s="24" t="s">
        <v>587</v>
      </c>
      <c r="O52" s="24" t="s">
        <v>539</v>
      </c>
      <c r="P52" s="24" t="s">
        <v>539</v>
      </c>
    </row>
    <row r="53" spans="2:16" x14ac:dyDescent="0.2">
      <c r="B53" s="41" t="s">
        <v>619</v>
      </c>
      <c r="C53" s="41" t="s">
        <v>618</v>
      </c>
      <c r="D53" s="24" t="s">
        <v>847</v>
      </c>
      <c r="E53" s="24" t="s">
        <v>848</v>
      </c>
      <c r="F53" s="24" t="s">
        <v>539</v>
      </c>
      <c r="G53" s="41" t="s">
        <v>849</v>
      </c>
      <c r="H53" s="24" t="s">
        <v>539</v>
      </c>
      <c r="I53" s="24" t="s">
        <v>539</v>
      </c>
      <c r="J53" s="24" t="s">
        <v>101</v>
      </c>
      <c r="K53" s="24" t="s">
        <v>620</v>
      </c>
      <c r="L53" s="24" t="s">
        <v>850</v>
      </c>
      <c r="M53" s="24" t="s">
        <v>539</v>
      </c>
      <c r="N53" s="24" t="s">
        <v>539</v>
      </c>
      <c r="O53" s="24" t="s">
        <v>539</v>
      </c>
      <c r="P53" s="24" t="s">
        <v>539</v>
      </c>
    </row>
    <row r="54" spans="2:16" x14ac:dyDescent="0.2">
      <c r="B54" s="41" t="s">
        <v>619</v>
      </c>
      <c r="C54" s="41" t="s">
        <v>629</v>
      </c>
      <c r="D54" s="24" t="s">
        <v>851</v>
      </c>
      <c r="E54" s="24" t="s">
        <v>852</v>
      </c>
      <c r="F54" s="24" t="s">
        <v>539</v>
      </c>
      <c r="G54" s="41" t="s">
        <v>853</v>
      </c>
      <c r="H54" s="24" t="s">
        <v>539</v>
      </c>
      <c r="I54" s="24" t="s">
        <v>539</v>
      </c>
      <c r="J54" s="24" t="s">
        <v>541</v>
      </c>
      <c r="K54" s="24" t="s">
        <v>854</v>
      </c>
      <c r="L54" s="24" t="s">
        <v>855</v>
      </c>
      <c r="M54" s="24" t="s">
        <v>539</v>
      </c>
      <c r="N54" s="24" t="s">
        <v>539</v>
      </c>
      <c r="O54" s="24" t="s">
        <v>539</v>
      </c>
      <c r="P54" s="24" t="s">
        <v>539</v>
      </c>
    </row>
    <row r="55" spans="2:16" x14ac:dyDescent="0.2">
      <c r="B55" s="41" t="s">
        <v>619</v>
      </c>
      <c r="C55" s="41" t="s">
        <v>618</v>
      </c>
      <c r="D55" s="24" t="s">
        <v>856</v>
      </c>
      <c r="E55" s="24" t="s">
        <v>857</v>
      </c>
      <c r="F55" s="24" t="s">
        <v>539</v>
      </c>
      <c r="G55" s="41" t="s">
        <v>858</v>
      </c>
      <c r="H55" s="24" t="s">
        <v>539</v>
      </c>
      <c r="I55" s="24" t="s">
        <v>539</v>
      </c>
      <c r="J55" s="24" t="s">
        <v>46</v>
      </c>
      <c r="K55" s="24" t="s">
        <v>859</v>
      </c>
      <c r="L55" s="24" t="s">
        <v>860</v>
      </c>
      <c r="M55" s="24" t="s">
        <v>861</v>
      </c>
      <c r="N55" s="24" t="s">
        <v>539</v>
      </c>
      <c r="O55" s="24" t="s">
        <v>539</v>
      </c>
      <c r="P55" s="24" t="s">
        <v>539</v>
      </c>
    </row>
    <row r="56" spans="2:16" x14ac:dyDescent="0.2">
      <c r="B56" s="41" t="s">
        <v>619</v>
      </c>
      <c r="C56" s="41" t="s">
        <v>618</v>
      </c>
      <c r="D56" s="24" t="s">
        <v>862</v>
      </c>
      <c r="E56" s="24" t="s">
        <v>863</v>
      </c>
      <c r="F56" s="24" t="s">
        <v>539</v>
      </c>
      <c r="G56" s="41" t="s">
        <v>864</v>
      </c>
      <c r="H56" s="24" t="s">
        <v>539</v>
      </c>
      <c r="I56" s="24" t="s">
        <v>539</v>
      </c>
      <c r="J56" s="24" t="s">
        <v>183</v>
      </c>
      <c r="K56" s="24" t="s">
        <v>865</v>
      </c>
      <c r="L56" s="24" t="s">
        <v>866</v>
      </c>
      <c r="M56" s="24" t="s">
        <v>867</v>
      </c>
      <c r="N56" s="24" t="s">
        <v>539</v>
      </c>
      <c r="O56" s="24" t="s">
        <v>539</v>
      </c>
      <c r="P56" s="24" t="s">
        <v>539</v>
      </c>
    </row>
    <row r="57" spans="2:16" x14ac:dyDescent="0.2">
      <c r="B57" s="41" t="s">
        <v>619</v>
      </c>
      <c r="C57" s="41" t="s">
        <v>629</v>
      </c>
      <c r="D57" s="24" t="s">
        <v>868</v>
      </c>
      <c r="E57" s="24" t="s">
        <v>869</v>
      </c>
      <c r="F57" s="24" t="s">
        <v>539</v>
      </c>
      <c r="G57" s="41" t="s">
        <v>870</v>
      </c>
      <c r="H57" s="24" t="s">
        <v>539</v>
      </c>
      <c r="I57" s="24" t="s">
        <v>539</v>
      </c>
      <c r="J57" s="24" t="s">
        <v>18</v>
      </c>
      <c r="K57" s="24" t="s">
        <v>871</v>
      </c>
      <c r="L57" s="24" t="s">
        <v>872</v>
      </c>
      <c r="M57" s="24" t="s">
        <v>539</v>
      </c>
      <c r="N57" s="24" t="s">
        <v>539</v>
      </c>
      <c r="O57" s="24" t="s">
        <v>539</v>
      </c>
      <c r="P57" s="24" t="s">
        <v>539</v>
      </c>
    </row>
    <row r="58" spans="2:16" x14ac:dyDescent="0.2">
      <c r="B58" s="41" t="s">
        <v>619</v>
      </c>
      <c r="C58" s="41" t="s">
        <v>629</v>
      </c>
      <c r="D58" s="24" t="s">
        <v>873</v>
      </c>
      <c r="E58" s="24" t="s">
        <v>874</v>
      </c>
      <c r="F58" s="24" t="s">
        <v>539</v>
      </c>
      <c r="G58" s="41" t="s">
        <v>875</v>
      </c>
      <c r="H58" s="24" t="s">
        <v>539</v>
      </c>
      <c r="I58" s="24" t="s">
        <v>539</v>
      </c>
      <c r="J58" s="24" t="s">
        <v>183</v>
      </c>
      <c r="K58" s="24" t="s">
        <v>876</v>
      </c>
      <c r="L58" s="24" t="s">
        <v>877</v>
      </c>
      <c r="M58" s="24" t="s">
        <v>539</v>
      </c>
      <c r="N58" s="24" t="s">
        <v>539</v>
      </c>
      <c r="O58" s="24" t="s">
        <v>539</v>
      </c>
      <c r="P58" s="24" t="s">
        <v>539</v>
      </c>
    </row>
    <row r="59" spans="2:16" x14ac:dyDescent="0.2">
      <c r="B59" s="41" t="s">
        <v>619</v>
      </c>
      <c r="C59" s="41" t="s">
        <v>701</v>
      </c>
      <c r="D59" s="24" t="s">
        <v>878</v>
      </c>
      <c r="E59" s="24" t="s">
        <v>879</v>
      </c>
      <c r="F59" s="24" t="s">
        <v>539</v>
      </c>
      <c r="G59" s="41" t="s">
        <v>880</v>
      </c>
      <c r="H59" s="24" t="s">
        <v>539</v>
      </c>
      <c r="I59" s="24" t="s">
        <v>539</v>
      </c>
      <c r="J59" s="24" t="s">
        <v>130</v>
      </c>
      <c r="K59" s="24" t="s">
        <v>881</v>
      </c>
      <c r="L59" s="24" t="s">
        <v>882</v>
      </c>
      <c r="M59" s="24" t="s">
        <v>539</v>
      </c>
      <c r="N59" s="24" t="s">
        <v>539</v>
      </c>
      <c r="O59" s="24" t="s">
        <v>539</v>
      </c>
      <c r="P59" s="24" t="s">
        <v>539</v>
      </c>
    </row>
    <row r="60" spans="2:16" x14ac:dyDescent="0.2">
      <c r="B60" s="41" t="s">
        <v>619</v>
      </c>
      <c r="C60" s="41" t="s">
        <v>618</v>
      </c>
      <c r="D60" s="24" t="s">
        <v>883</v>
      </c>
      <c r="E60" s="24" t="s">
        <v>884</v>
      </c>
      <c r="F60" s="24" t="s">
        <v>539</v>
      </c>
      <c r="G60" s="41" t="s">
        <v>885</v>
      </c>
      <c r="H60" s="24" t="s">
        <v>539</v>
      </c>
      <c r="I60" s="24" t="s">
        <v>539</v>
      </c>
      <c r="J60" s="24" t="s">
        <v>108</v>
      </c>
      <c r="K60" s="24" t="s">
        <v>886</v>
      </c>
      <c r="L60" s="24" t="s">
        <v>887</v>
      </c>
      <c r="M60" s="24" t="s">
        <v>539</v>
      </c>
      <c r="N60" s="24" t="s">
        <v>539</v>
      </c>
      <c r="O60" s="24" t="s">
        <v>539</v>
      </c>
      <c r="P60" s="24" t="s">
        <v>539</v>
      </c>
    </row>
  </sheetData>
  <autoFilter ref="A1:P1" xr:uid="{DD33CD69-F008-4B77-B30D-7A560F3B9F69}">
    <sortState xmlns:xlrd2="http://schemas.microsoft.com/office/spreadsheetml/2017/richdata2" ref="A2:P1">
      <sortCondition ref="G1"/>
    </sortState>
  </autoFilter>
  <phoneticPr fontId="0" type="noConversion"/>
  <pageMargins left="0.78740157499999996" right="0.78740157499999996" top="0.984251969" bottom="0.984251969" header="0.4921259845" footer="0.4921259845"/>
  <pageSetup paperSize="9" scale="52" fitToHeight="0" orientation="landscape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98B61-75E9-4905-B81A-5B84F911E6FC}">
  <sheetPr codeName="List2"/>
  <dimension ref="A1:D272"/>
  <sheetViews>
    <sheetView topLeftCell="B169" workbookViewId="0">
      <selection activeCell="B60" sqref="B60"/>
    </sheetView>
  </sheetViews>
  <sheetFormatPr defaultRowHeight="12.75" x14ac:dyDescent="0.2"/>
  <cols>
    <col min="1" max="1" width="4.42578125" hidden="1" customWidth="1"/>
    <col min="2" max="2" width="5.7109375" bestFit="1" customWidth="1"/>
    <col min="3" max="3" width="36.140625" bestFit="1" customWidth="1"/>
    <col min="4" max="4" width="36.7109375" hidden="1" customWidth="1"/>
  </cols>
  <sheetData>
    <row r="1" spans="1:4" x14ac:dyDescent="0.2">
      <c r="A1">
        <v>13</v>
      </c>
      <c r="B1" t="s">
        <v>176</v>
      </c>
      <c r="C1" t="s">
        <v>267</v>
      </c>
      <c r="D1" t="str">
        <f>CONCATENATE(B1, " - ",C1)</f>
        <v>ABW - Aruba</v>
      </c>
    </row>
    <row r="2" spans="1:4" x14ac:dyDescent="0.2">
      <c r="A2">
        <v>104</v>
      </c>
      <c r="B2" t="s">
        <v>66</v>
      </c>
      <c r="C2" t="s">
        <v>347</v>
      </c>
      <c r="D2" t="str">
        <f t="shared" ref="D2:D65" si="0">CONCATENATE(B2, " - ",C2)</f>
        <v>AFG - Afghánistán</v>
      </c>
    </row>
    <row r="3" spans="1:4" x14ac:dyDescent="0.2">
      <c r="A3">
        <v>7</v>
      </c>
      <c r="B3" t="s">
        <v>3</v>
      </c>
      <c r="C3" t="s">
        <v>261</v>
      </c>
      <c r="D3" t="str">
        <f t="shared" si="0"/>
        <v>AGO - Angola</v>
      </c>
    </row>
    <row r="4" spans="1:4" x14ac:dyDescent="0.2">
      <c r="A4">
        <v>8</v>
      </c>
      <c r="B4" t="s">
        <v>173</v>
      </c>
      <c r="C4" t="s">
        <v>262</v>
      </c>
      <c r="D4" t="str">
        <f t="shared" si="0"/>
        <v>AIA - Anguilla</v>
      </c>
    </row>
    <row r="5" spans="1:4" x14ac:dyDescent="0.2">
      <c r="A5">
        <v>2</v>
      </c>
      <c r="B5" t="s">
        <v>0</v>
      </c>
      <c r="C5" t="s">
        <v>256</v>
      </c>
      <c r="D5" t="str">
        <f t="shared" si="0"/>
        <v>ALB - Albánie</v>
      </c>
    </row>
    <row r="6" spans="1:4" x14ac:dyDescent="0.2">
      <c r="A6">
        <v>6</v>
      </c>
      <c r="B6" t="s">
        <v>2</v>
      </c>
      <c r="C6" t="s">
        <v>260</v>
      </c>
      <c r="D6" t="str">
        <f t="shared" si="0"/>
        <v>AND - Andorra</v>
      </c>
    </row>
    <row r="7" spans="1:4" x14ac:dyDescent="0.2">
      <c r="A7">
        <v>201</v>
      </c>
      <c r="B7" t="s">
        <v>139</v>
      </c>
      <c r="C7" t="s">
        <v>437</v>
      </c>
      <c r="D7" t="str">
        <f t="shared" si="0"/>
        <v>ANT - Nizozemské Antily</v>
      </c>
    </row>
    <row r="8" spans="1:4" x14ac:dyDescent="0.2">
      <c r="A8">
        <v>205</v>
      </c>
      <c r="B8" t="s">
        <v>143</v>
      </c>
      <c r="C8" t="s">
        <v>441</v>
      </c>
      <c r="D8" t="str">
        <f t="shared" si="0"/>
        <v>ARE - Spojené arabské emiráty</v>
      </c>
    </row>
    <row r="9" spans="1:4" x14ac:dyDescent="0.2">
      <c r="A9">
        <v>11</v>
      </c>
      <c r="B9" t="s">
        <v>4</v>
      </c>
      <c r="C9" t="s">
        <v>265</v>
      </c>
      <c r="D9" t="str">
        <f t="shared" si="0"/>
        <v>ARG - Argentina</v>
      </c>
    </row>
    <row r="10" spans="1:4" x14ac:dyDescent="0.2">
      <c r="A10">
        <v>12</v>
      </c>
      <c r="B10" t="s">
        <v>5</v>
      </c>
      <c r="C10" t="s">
        <v>266</v>
      </c>
      <c r="D10" t="str">
        <f t="shared" si="0"/>
        <v>ARM - Arménie</v>
      </c>
    </row>
    <row r="11" spans="1:4" x14ac:dyDescent="0.2">
      <c r="A11">
        <v>4</v>
      </c>
      <c r="B11" t="s">
        <v>171</v>
      </c>
      <c r="C11" t="s">
        <v>258</v>
      </c>
      <c r="D11" t="str">
        <f t="shared" si="0"/>
        <v>ASM - Americká Samoa</v>
      </c>
    </row>
    <row r="12" spans="1:4" x14ac:dyDescent="0.2">
      <c r="A12">
        <v>9</v>
      </c>
      <c r="B12" t="s">
        <v>174</v>
      </c>
      <c r="C12" t="s">
        <v>263</v>
      </c>
      <c r="D12" t="str">
        <f t="shared" si="0"/>
        <v>ATA - Antarktida</v>
      </c>
    </row>
    <row r="13" spans="1:4" x14ac:dyDescent="0.2">
      <c r="A13">
        <v>53</v>
      </c>
      <c r="B13" t="s">
        <v>187</v>
      </c>
      <c r="C13" t="s">
        <v>301</v>
      </c>
      <c r="D13" t="str">
        <f t="shared" si="0"/>
        <v>ATF - Francouzská jižní území</v>
      </c>
    </row>
    <row r="14" spans="1:4" x14ac:dyDescent="0.2">
      <c r="A14">
        <v>10</v>
      </c>
      <c r="B14" t="s">
        <v>175</v>
      </c>
      <c r="C14" t="s">
        <v>264</v>
      </c>
      <c r="D14" t="str">
        <f t="shared" si="0"/>
        <v>ATG - Antigua a Barbuda</v>
      </c>
    </row>
    <row r="15" spans="1:4" x14ac:dyDescent="0.2">
      <c r="A15">
        <v>242</v>
      </c>
      <c r="B15" t="s">
        <v>235</v>
      </c>
      <c r="C15" t="s">
        <v>507</v>
      </c>
      <c r="D15" t="str">
        <f t="shared" si="0"/>
        <v>ATN - Země královny Maud</v>
      </c>
    </row>
    <row r="16" spans="1:4" x14ac:dyDescent="0.2">
      <c r="A16">
        <v>14</v>
      </c>
      <c r="B16" t="s">
        <v>6</v>
      </c>
      <c r="C16" t="s">
        <v>268</v>
      </c>
      <c r="D16" t="str">
        <f t="shared" si="0"/>
        <v>AUS - Austrálie</v>
      </c>
    </row>
    <row r="17" spans="1:4" x14ac:dyDescent="0.2">
      <c r="A17">
        <v>173</v>
      </c>
      <c r="B17" t="s">
        <v>117</v>
      </c>
      <c r="C17" t="s">
        <v>410</v>
      </c>
      <c r="D17" t="str">
        <f t="shared" si="0"/>
        <v>AUT - Rakousko</v>
      </c>
    </row>
    <row r="18" spans="1:4" x14ac:dyDescent="0.2">
      <c r="A18">
        <v>15</v>
      </c>
      <c r="B18" t="s">
        <v>7</v>
      </c>
      <c r="C18" t="s">
        <v>269</v>
      </c>
      <c r="D18" t="str">
        <f t="shared" si="0"/>
        <v>AZE - Ázerbájdžán</v>
      </c>
    </row>
    <row r="19" spans="1:4" x14ac:dyDescent="0.2">
      <c r="A19">
        <v>34</v>
      </c>
      <c r="B19" t="s">
        <v>21</v>
      </c>
      <c r="C19" t="s">
        <v>286</v>
      </c>
      <c r="D19" t="str">
        <f t="shared" si="0"/>
        <v>BDI - Burundi</v>
      </c>
    </row>
    <row r="20" spans="1:4" x14ac:dyDescent="0.2">
      <c r="A20">
        <v>19</v>
      </c>
      <c r="B20" t="s">
        <v>12</v>
      </c>
      <c r="C20" t="s">
        <v>273</v>
      </c>
      <c r="D20" t="str">
        <f t="shared" si="0"/>
        <v>BEL - Belgie</v>
      </c>
    </row>
    <row r="21" spans="1:4" x14ac:dyDescent="0.2">
      <c r="A21">
        <v>22</v>
      </c>
      <c r="B21" t="s">
        <v>14</v>
      </c>
      <c r="C21" t="s">
        <v>275</v>
      </c>
      <c r="D21" t="str">
        <f t="shared" si="0"/>
        <v>BEN - Benin</v>
      </c>
    </row>
    <row r="22" spans="1:4" x14ac:dyDescent="0.2">
      <c r="A22">
        <v>280</v>
      </c>
      <c r="B22" t="s">
        <v>563</v>
      </c>
      <c r="C22" t="s">
        <v>564</v>
      </c>
      <c r="D22" t="str">
        <f t="shared" si="0"/>
        <v>BES - Bonaire, Saint Eustatius and Saba</v>
      </c>
    </row>
    <row r="23" spans="1:4" x14ac:dyDescent="0.2">
      <c r="A23">
        <v>33</v>
      </c>
      <c r="B23" t="s">
        <v>20</v>
      </c>
      <c r="C23" t="s">
        <v>285</v>
      </c>
      <c r="D23" t="str">
        <f t="shared" si="0"/>
        <v>BFA - Burkina Faso</v>
      </c>
    </row>
    <row r="24" spans="1:4" x14ac:dyDescent="0.2">
      <c r="A24">
        <v>106</v>
      </c>
      <c r="B24" t="s">
        <v>67</v>
      </c>
      <c r="C24" t="s">
        <v>349</v>
      </c>
      <c r="D24" t="str">
        <f t="shared" si="0"/>
        <v>BGD - Bangladéš</v>
      </c>
    </row>
    <row r="25" spans="1:4" x14ac:dyDescent="0.2">
      <c r="A25">
        <v>32</v>
      </c>
      <c r="B25" t="s">
        <v>19</v>
      </c>
      <c r="C25" t="s">
        <v>284</v>
      </c>
      <c r="D25" t="str">
        <f t="shared" si="0"/>
        <v>BGR - Bulharsko</v>
      </c>
    </row>
    <row r="26" spans="1:4" x14ac:dyDescent="0.2">
      <c r="A26">
        <v>17</v>
      </c>
      <c r="B26" t="s">
        <v>9</v>
      </c>
      <c r="C26" t="s">
        <v>271</v>
      </c>
      <c r="D26" t="str">
        <f t="shared" si="0"/>
        <v>BHR - Bahrajn</v>
      </c>
    </row>
    <row r="27" spans="1:4" x14ac:dyDescent="0.2">
      <c r="A27">
        <v>16</v>
      </c>
      <c r="B27" t="s">
        <v>8</v>
      </c>
      <c r="C27" t="s">
        <v>270</v>
      </c>
      <c r="D27" t="str">
        <f t="shared" si="0"/>
        <v>BHS - Bahamy</v>
      </c>
    </row>
    <row r="28" spans="1:4" x14ac:dyDescent="0.2">
      <c r="A28">
        <v>26</v>
      </c>
      <c r="B28" t="s">
        <v>16</v>
      </c>
      <c r="C28" t="s">
        <v>279</v>
      </c>
      <c r="D28" t="str">
        <f t="shared" si="0"/>
        <v>BIH - Bosna a Hercegovina</v>
      </c>
    </row>
    <row r="29" spans="1:4" x14ac:dyDescent="0.2">
      <c r="A29">
        <v>278</v>
      </c>
      <c r="B29" t="s">
        <v>559</v>
      </c>
      <c r="C29" t="s">
        <v>561</v>
      </c>
      <c r="D29" t="str">
        <f t="shared" si="0"/>
        <v>BLM - Saint Barthélemy</v>
      </c>
    </row>
    <row r="30" spans="1:4" x14ac:dyDescent="0.2">
      <c r="A30">
        <v>21</v>
      </c>
      <c r="B30" t="s">
        <v>13</v>
      </c>
      <c r="C30" t="s">
        <v>509</v>
      </c>
      <c r="D30" t="str">
        <f t="shared" si="0"/>
        <v>BLR - Bělorusko</v>
      </c>
    </row>
    <row r="31" spans="1:4" x14ac:dyDescent="0.2">
      <c r="A31">
        <v>20</v>
      </c>
      <c r="B31" t="s">
        <v>177</v>
      </c>
      <c r="C31" t="s">
        <v>274</v>
      </c>
      <c r="D31" t="str">
        <f t="shared" si="0"/>
        <v>BLZ - Belize</v>
      </c>
    </row>
    <row r="32" spans="1:4" x14ac:dyDescent="0.2">
      <c r="A32">
        <v>23</v>
      </c>
      <c r="B32" t="s">
        <v>178</v>
      </c>
      <c r="C32" t="s">
        <v>276</v>
      </c>
      <c r="D32" t="str">
        <f t="shared" si="0"/>
        <v>BMU - Bermudy</v>
      </c>
    </row>
    <row r="33" spans="1:4" x14ac:dyDescent="0.2">
      <c r="A33">
        <v>25</v>
      </c>
      <c r="B33" t="s">
        <v>15</v>
      </c>
      <c r="C33" t="s">
        <v>278</v>
      </c>
      <c r="D33" t="str">
        <f t="shared" si="0"/>
        <v>BOL - Bolívie</v>
      </c>
    </row>
    <row r="34" spans="1:4" x14ac:dyDescent="0.2">
      <c r="A34">
        <v>29</v>
      </c>
      <c r="B34" t="s">
        <v>18</v>
      </c>
      <c r="C34" t="s">
        <v>281</v>
      </c>
      <c r="D34" t="str">
        <f t="shared" si="0"/>
        <v>BRA - Brazílie</v>
      </c>
    </row>
    <row r="35" spans="1:4" x14ac:dyDescent="0.2">
      <c r="A35">
        <v>18</v>
      </c>
      <c r="B35" t="s">
        <v>11</v>
      </c>
      <c r="C35" t="s">
        <v>272</v>
      </c>
      <c r="D35" t="str">
        <f t="shared" si="0"/>
        <v>BRB - Barbados</v>
      </c>
    </row>
    <row r="36" spans="1:4" x14ac:dyDescent="0.2">
      <c r="A36">
        <v>31</v>
      </c>
      <c r="B36" t="s">
        <v>10</v>
      </c>
      <c r="C36" t="s">
        <v>283</v>
      </c>
      <c r="D36" t="str">
        <f t="shared" si="0"/>
        <v>BRN - Brunej Darussalam</v>
      </c>
    </row>
    <row r="37" spans="1:4" x14ac:dyDescent="0.2">
      <c r="A37">
        <v>24</v>
      </c>
      <c r="B37" t="s">
        <v>179</v>
      </c>
      <c r="C37" t="s">
        <v>277</v>
      </c>
      <c r="D37" t="str">
        <f t="shared" si="0"/>
        <v>BTN - Bhútán</v>
      </c>
    </row>
    <row r="38" spans="1:4" x14ac:dyDescent="0.2">
      <c r="A38">
        <v>28</v>
      </c>
      <c r="B38" t="s">
        <v>180</v>
      </c>
      <c r="C38" t="s">
        <v>493</v>
      </c>
      <c r="D38" t="str">
        <f t="shared" si="0"/>
        <v>BVT - Bouvetův ostrov</v>
      </c>
    </row>
    <row r="39" spans="1:4" x14ac:dyDescent="0.2">
      <c r="A39">
        <v>27</v>
      </c>
      <c r="B39" t="s">
        <v>17</v>
      </c>
      <c r="C39" t="s">
        <v>280</v>
      </c>
      <c r="D39" t="str">
        <f t="shared" si="0"/>
        <v>BWA - Botswana</v>
      </c>
    </row>
    <row r="40" spans="1:4" x14ac:dyDescent="0.2">
      <c r="A40">
        <v>99</v>
      </c>
      <c r="B40" t="s">
        <v>62</v>
      </c>
      <c r="C40" t="s">
        <v>497</v>
      </c>
      <c r="D40" t="str">
        <f t="shared" si="0"/>
        <v>CAF - Středoafrická republika</v>
      </c>
    </row>
    <row r="41" spans="1:4" x14ac:dyDescent="0.2">
      <c r="A41">
        <v>85</v>
      </c>
      <c r="B41" t="s">
        <v>56</v>
      </c>
      <c r="C41" t="s">
        <v>331</v>
      </c>
      <c r="D41" t="str">
        <f t="shared" si="0"/>
        <v>CAN - Kanada</v>
      </c>
    </row>
    <row r="42" spans="1:4" x14ac:dyDescent="0.2">
      <c r="A42">
        <v>200</v>
      </c>
      <c r="B42" t="s">
        <v>224</v>
      </c>
      <c r="C42" t="s">
        <v>436</v>
      </c>
      <c r="D42" t="str">
        <f t="shared" si="0"/>
        <v>CCK - Kokosové ostrovy</v>
      </c>
    </row>
    <row r="43" spans="1:4" x14ac:dyDescent="0.2">
      <c r="A43">
        <v>170</v>
      </c>
      <c r="B43" t="s">
        <v>114</v>
      </c>
      <c r="C43" t="s">
        <v>498</v>
      </c>
      <c r="D43" t="str">
        <f t="shared" si="0"/>
        <v>CIV - Pobřeží slonoviny</v>
      </c>
    </row>
    <row r="44" spans="1:4" x14ac:dyDescent="0.2">
      <c r="A44">
        <v>84</v>
      </c>
      <c r="B44" t="s">
        <v>55</v>
      </c>
      <c r="C44" t="s">
        <v>330</v>
      </c>
      <c r="D44" t="str">
        <f t="shared" si="0"/>
        <v>CMR - Kamerun</v>
      </c>
    </row>
    <row r="45" spans="1:4" x14ac:dyDescent="0.2">
      <c r="A45">
        <v>93</v>
      </c>
      <c r="B45" t="s">
        <v>60</v>
      </c>
      <c r="C45" t="s">
        <v>338</v>
      </c>
      <c r="D45" t="str">
        <f t="shared" si="0"/>
        <v>COD - Kongo, demokratická republika</v>
      </c>
    </row>
    <row r="46" spans="1:4" x14ac:dyDescent="0.2">
      <c r="A46">
        <v>92</v>
      </c>
      <c r="B46" t="s">
        <v>198</v>
      </c>
      <c r="C46" t="s">
        <v>337</v>
      </c>
      <c r="D46" t="str">
        <f t="shared" si="0"/>
        <v>COG - Kongo</v>
      </c>
    </row>
    <row r="47" spans="1:4" x14ac:dyDescent="0.2">
      <c r="A47">
        <v>36</v>
      </c>
      <c r="B47" t="s">
        <v>182</v>
      </c>
      <c r="C47" t="s">
        <v>287</v>
      </c>
      <c r="D47" t="str">
        <f t="shared" si="0"/>
        <v>COK - Cookovy ostrovy</v>
      </c>
    </row>
    <row r="48" spans="1:4" x14ac:dyDescent="0.2">
      <c r="A48">
        <v>90</v>
      </c>
      <c r="B48" t="s">
        <v>59</v>
      </c>
      <c r="C48" t="s">
        <v>335</v>
      </c>
      <c r="D48" t="str">
        <f t="shared" si="0"/>
        <v>COL - Kolumbie</v>
      </c>
    </row>
    <row r="49" spans="1:4" x14ac:dyDescent="0.2">
      <c r="A49">
        <v>91</v>
      </c>
      <c r="B49" t="s">
        <v>197</v>
      </c>
      <c r="C49" t="s">
        <v>336</v>
      </c>
      <c r="D49" t="str">
        <f t="shared" si="0"/>
        <v>COM - Komory</v>
      </c>
    </row>
    <row r="50" spans="1:4" x14ac:dyDescent="0.2">
      <c r="A50">
        <v>86</v>
      </c>
      <c r="B50" t="s">
        <v>195</v>
      </c>
      <c r="C50" t="s">
        <v>332</v>
      </c>
      <c r="D50" t="str">
        <f t="shared" si="0"/>
        <v>CPV - Kapverdy</v>
      </c>
    </row>
    <row r="51" spans="1:4" x14ac:dyDescent="0.2">
      <c r="A51">
        <v>114</v>
      </c>
      <c r="B51" t="s">
        <v>72</v>
      </c>
      <c r="C51" t="s">
        <v>356</v>
      </c>
      <c r="D51" t="str">
        <f t="shared" si="0"/>
        <v>CRI - Kostarika</v>
      </c>
    </row>
    <row r="52" spans="1:4" x14ac:dyDescent="0.2">
      <c r="A52">
        <v>115</v>
      </c>
      <c r="B52" t="s">
        <v>73</v>
      </c>
      <c r="C52" t="s">
        <v>357</v>
      </c>
      <c r="D52" t="str">
        <f t="shared" si="0"/>
        <v>CUB - Kuba</v>
      </c>
    </row>
    <row r="53" spans="1:4" x14ac:dyDescent="0.2">
      <c r="A53">
        <v>281</v>
      </c>
      <c r="B53" t="s">
        <v>565</v>
      </c>
      <c r="C53" t="s">
        <v>567</v>
      </c>
      <c r="D53" t="str">
        <f t="shared" si="0"/>
        <v>CUW - Curaçao</v>
      </c>
    </row>
    <row r="54" spans="1:4" x14ac:dyDescent="0.2">
      <c r="A54">
        <v>234</v>
      </c>
      <c r="B54" t="s">
        <v>232</v>
      </c>
      <c r="C54" t="s">
        <v>511</v>
      </c>
      <c r="D54" t="str">
        <f t="shared" si="0"/>
        <v>CXR - Vánoční ostrov</v>
      </c>
    </row>
    <row r="55" spans="1:4" x14ac:dyDescent="0.2">
      <c r="A55">
        <v>82</v>
      </c>
      <c r="B55" t="s">
        <v>194</v>
      </c>
      <c r="C55" t="s">
        <v>328</v>
      </c>
      <c r="D55" t="str">
        <f t="shared" si="0"/>
        <v>CYM - Kajmanské ostrovy</v>
      </c>
    </row>
    <row r="56" spans="1:4" x14ac:dyDescent="0.2">
      <c r="A56">
        <v>117</v>
      </c>
      <c r="B56" t="s">
        <v>75</v>
      </c>
      <c r="C56" t="s">
        <v>359</v>
      </c>
      <c r="D56" t="str">
        <f t="shared" si="0"/>
        <v>CYP - Kypr</v>
      </c>
    </row>
    <row r="57" spans="1:4" x14ac:dyDescent="0.2">
      <c r="A57">
        <v>152</v>
      </c>
      <c r="B57" t="s">
        <v>101</v>
      </c>
      <c r="C57" t="s">
        <v>505</v>
      </c>
      <c r="D57" t="str">
        <f t="shared" si="0"/>
        <v>DEU - Německo</v>
      </c>
    </row>
    <row r="58" spans="1:4" x14ac:dyDescent="0.2">
      <c r="A58">
        <v>42</v>
      </c>
      <c r="B58" t="s">
        <v>184</v>
      </c>
      <c r="C58" t="s">
        <v>290</v>
      </c>
      <c r="D58" t="str">
        <f t="shared" si="0"/>
        <v>DJI - Džibutsko</v>
      </c>
    </row>
    <row r="59" spans="1:4" x14ac:dyDescent="0.2">
      <c r="A59">
        <v>41</v>
      </c>
      <c r="B59" t="s">
        <v>24</v>
      </c>
      <c r="C59" t="s">
        <v>289</v>
      </c>
      <c r="D59" t="str">
        <f t="shared" si="0"/>
        <v>DMA - Dominika</v>
      </c>
    </row>
    <row r="60" spans="1:4" x14ac:dyDescent="0.2">
      <c r="A60">
        <v>40</v>
      </c>
      <c r="B60" t="s">
        <v>23</v>
      </c>
      <c r="C60" t="s">
        <v>288</v>
      </c>
      <c r="D60" t="str">
        <f t="shared" si="0"/>
        <v>DNK - Dánsko</v>
      </c>
    </row>
    <row r="61" spans="1:4" x14ac:dyDescent="0.2">
      <c r="A61">
        <v>193</v>
      </c>
      <c r="B61" t="s">
        <v>132</v>
      </c>
      <c r="C61" t="s">
        <v>429</v>
      </c>
      <c r="D61" t="str">
        <f t="shared" si="0"/>
        <v>DOM - Dominikánská republika</v>
      </c>
    </row>
    <row r="62" spans="1:4" x14ac:dyDescent="0.2">
      <c r="A62">
        <v>3</v>
      </c>
      <c r="B62" t="s">
        <v>1</v>
      </c>
      <c r="C62" t="s">
        <v>257</v>
      </c>
      <c r="D62" t="str">
        <f t="shared" si="0"/>
        <v>DZA - Alžírsko</v>
      </c>
    </row>
    <row r="63" spans="1:4" x14ac:dyDescent="0.2">
      <c r="A63">
        <v>44</v>
      </c>
      <c r="B63" t="s">
        <v>26</v>
      </c>
      <c r="C63" t="s">
        <v>292</v>
      </c>
      <c r="D63" t="str">
        <f t="shared" si="0"/>
        <v>ECU - Ekvádor</v>
      </c>
    </row>
    <row r="64" spans="1:4" x14ac:dyDescent="0.2">
      <c r="A64">
        <v>43</v>
      </c>
      <c r="B64" t="s">
        <v>25</v>
      </c>
      <c r="C64" t="s">
        <v>291</v>
      </c>
      <c r="D64" t="str">
        <f t="shared" si="0"/>
        <v>EGY - Egypt</v>
      </c>
    </row>
    <row r="65" spans="1:4" x14ac:dyDescent="0.2">
      <c r="A65">
        <v>45</v>
      </c>
      <c r="B65" t="s">
        <v>185</v>
      </c>
      <c r="C65" t="s">
        <v>293</v>
      </c>
      <c r="D65" t="str">
        <f t="shared" si="0"/>
        <v>ERI - Eritrea</v>
      </c>
    </row>
    <row r="66" spans="1:4" x14ac:dyDescent="0.2">
      <c r="A66">
        <v>96</v>
      </c>
      <c r="B66" t="s">
        <v>200</v>
      </c>
      <c r="C66" t="s">
        <v>341</v>
      </c>
      <c r="D66" t="str">
        <f t="shared" ref="D66:D129" si="1">CONCATENATE(B66, " - ",C66)</f>
        <v>ESH - Západní Sahara</v>
      </c>
    </row>
    <row r="67" spans="1:4" x14ac:dyDescent="0.2">
      <c r="A67">
        <v>214</v>
      </c>
      <c r="B67" t="s">
        <v>148</v>
      </c>
      <c r="C67" t="s">
        <v>506</v>
      </c>
      <c r="D67" t="str">
        <f t="shared" si="1"/>
        <v>ESP - Španělsko</v>
      </c>
    </row>
    <row r="68" spans="1:4" x14ac:dyDescent="0.2">
      <c r="A68">
        <v>46</v>
      </c>
      <c r="B68" t="s">
        <v>27</v>
      </c>
      <c r="C68" t="s">
        <v>294</v>
      </c>
      <c r="D68" t="str">
        <f t="shared" si="1"/>
        <v>EST - Estonsko</v>
      </c>
    </row>
    <row r="69" spans="1:4" x14ac:dyDescent="0.2">
      <c r="A69">
        <v>47</v>
      </c>
      <c r="B69" t="s">
        <v>28</v>
      </c>
      <c r="C69" t="s">
        <v>295</v>
      </c>
      <c r="D69" t="str">
        <f t="shared" si="1"/>
        <v>ETH - Etiopie</v>
      </c>
    </row>
    <row r="70" spans="1:4" x14ac:dyDescent="0.2">
      <c r="A70">
        <v>52</v>
      </c>
      <c r="B70" t="s">
        <v>32</v>
      </c>
      <c r="C70" t="s">
        <v>300</v>
      </c>
      <c r="D70" t="str">
        <f t="shared" si="1"/>
        <v>FIN - Finsko</v>
      </c>
    </row>
    <row r="71" spans="1:4" x14ac:dyDescent="0.2">
      <c r="A71">
        <v>50</v>
      </c>
      <c r="B71" t="s">
        <v>30</v>
      </c>
      <c r="C71" t="s">
        <v>298</v>
      </c>
      <c r="D71" t="str">
        <f t="shared" si="1"/>
        <v>FJI - Fidži</v>
      </c>
    </row>
    <row r="72" spans="1:4" x14ac:dyDescent="0.2">
      <c r="A72">
        <v>49</v>
      </c>
      <c r="B72" t="s">
        <v>186</v>
      </c>
      <c r="C72" t="s">
        <v>297</v>
      </c>
      <c r="D72" t="str">
        <f t="shared" si="1"/>
        <v>FLK - Falklandy</v>
      </c>
    </row>
    <row r="73" spans="1:4" x14ac:dyDescent="0.2">
      <c r="A73">
        <v>194</v>
      </c>
      <c r="B73" t="s">
        <v>133</v>
      </c>
      <c r="C73" t="s">
        <v>430</v>
      </c>
      <c r="D73" t="str">
        <f t="shared" si="1"/>
        <v>FRA - Francie</v>
      </c>
    </row>
    <row r="74" spans="1:4" x14ac:dyDescent="0.2">
      <c r="A74">
        <v>48</v>
      </c>
      <c r="B74" t="s">
        <v>29</v>
      </c>
      <c r="C74" t="s">
        <v>296</v>
      </c>
      <c r="D74" t="str">
        <f t="shared" si="1"/>
        <v>FRO - Faerské ostrovy</v>
      </c>
    </row>
    <row r="75" spans="1:4" x14ac:dyDescent="0.2">
      <c r="A75">
        <v>144</v>
      </c>
      <c r="B75" t="s">
        <v>212</v>
      </c>
      <c r="C75" t="s">
        <v>384</v>
      </c>
      <c r="D75" t="str">
        <f t="shared" si="1"/>
        <v>FSM - Mikronésie</v>
      </c>
    </row>
    <row r="76" spans="1:4" x14ac:dyDescent="0.2">
      <c r="A76">
        <v>263</v>
      </c>
      <c r="B76" t="s">
        <v>251</v>
      </c>
      <c r="C76" t="s">
        <v>512</v>
      </c>
      <c r="D76" t="str">
        <f t="shared" si="1"/>
        <v>FXX - Francie metropolitní</v>
      </c>
    </row>
    <row r="77" spans="1:4" x14ac:dyDescent="0.2">
      <c r="A77">
        <v>55</v>
      </c>
      <c r="B77" t="s">
        <v>33</v>
      </c>
      <c r="C77" t="s">
        <v>303</v>
      </c>
      <c r="D77" t="str">
        <f t="shared" si="1"/>
        <v>GAB - Gabon</v>
      </c>
    </row>
    <row r="78" spans="1:4" x14ac:dyDescent="0.2">
      <c r="A78">
        <v>243</v>
      </c>
      <c r="B78" t="s">
        <v>236</v>
      </c>
      <c r="C78" t="s">
        <v>475</v>
      </c>
      <c r="D78" t="str">
        <f t="shared" si="1"/>
        <v>GBD - britská závislá území</v>
      </c>
    </row>
    <row r="79" spans="1:4" x14ac:dyDescent="0.2">
      <c r="A79">
        <v>264</v>
      </c>
      <c r="B79" t="s">
        <v>252</v>
      </c>
      <c r="C79" t="s">
        <v>503</v>
      </c>
      <c r="D79" t="str">
        <f t="shared" si="1"/>
        <v>GBN - britská zámořská národnost</v>
      </c>
    </row>
    <row r="80" spans="1:4" x14ac:dyDescent="0.2">
      <c r="A80">
        <v>244</v>
      </c>
      <c r="B80" t="s">
        <v>237</v>
      </c>
      <c r="C80" t="s">
        <v>499</v>
      </c>
      <c r="D80" t="str">
        <f t="shared" si="1"/>
        <v>GBO - britské zámořské území</v>
      </c>
    </row>
    <row r="81" spans="1:4" x14ac:dyDescent="0.2">
      <c r="A81">
        <v>265</v>
      </c>
      <c r="B81" t="s">
        <v>253</v>
      </c>
      <c r="C81" t="s">
        <v>508</v>
      </c>
      <c r="D81" t="str">
        <f t="shared" si="1"/>
        <v>GBP - britské chráněné osoby</v>
      </c>
    </row>
    <row r="82" spans="1:4" x14ac:dyDescent="0.2">
      <c r="A82">
        <v>189</v>
      </c>
      <c r="B82" t="s">
        <v>129</v>
      </c>
      <c r="C82" t="s">
        <v>425</v>
      </c>
      <c r="D82" t="str">
        <f t="shared" si="1"/>
        <v>GBR - Spojené království</v>
      </c>
    </row>
    <row r="83" spans="1:4" x14ac:dyDescent="0.2">
      <c r="A83">
        <v>245</v>
      </c>
      <c r="B83" t="s">
        <v>238</v>
      </c>
      <c r="C83" t="s">
        <v>476</v>
      </c>
      <c r="D83" t="str">
        <f t="shared" si="1"/>
        <v>GBS - Britský subjekt</v>
      </c>
    </row>
    <row r="84" spans="1:4" x14ac:dyDescent="0.2">
      <c r="A84">
        <v>59</v>
      </c>
      <c r="B84" t="s">
        <v>37</v>
      </c>
      <c r="C84" t="s">
        <v>307</v>
      </c>
      <c r="D84" t="str">
        <f t="shared" si="1"/>
        <v>GEO - Gruzie</v>
      </c>
    </row>
    <row r="85" spans="1:4" x14ac:dyDescent="0.2">
      <c r="A85">
        <v>57</v>
      </c>
      <c r="B85" t="s">
        <v>35</v>
      </c>
      <c r="C85" t="s">
        <v>305</v>
      </c>
      <c r="D85" t="str">
        <f t="shared" si="1"/>
        <v>GHA - Ghana</v>
      </c>
    </row>
    <row r="86" spans="1:4" x14ac:dyDescent="0.2">
      <c r="A86">
        <v>195</v>
      </c>
      <c r="B86" t="s">
        <v>134</v>
      </c>
      <c r="C86" t="s">
        <v>431</v>
      </c>
      <c r="D86" t="str">
        <f t="shared" si="1"/>
        <v>GIB - Gibraltar</v>
      </c>
    </row>
    <row r="87" spans="1:4" x14ac:dyDescent="0.2">
      <c r="A87">
        <v>62</v>
      </c>
      <c r="B87" t="s">
        <v>190</v>
      </c>
      <c r="C87" t="s">
        <v>310</v>
      </c>
      <c r="D87" t="str">
        <f t="shared" si="1"/>
        <v>GIN - Guinea</v>
      </c>
    </row>
    <row r="88" spans="1:4" x14ac:dyDescent="0.2">
      <c r="A88">
        <v>266</v>
      </c>
      <c r="B88" t="s">
        <v>254</v>
      </c>
      <c r="C88" t="s">
        <v>488</v>
      </c>
      <c r="D88" t="str">
        <f t="shared" si="1"/>
        <v>GLP - Guadeloupe</v>
      </c>
    </row>
    <row r="89" spans="1:4" x14ac:dyDescent="0.2">
      <c r="A89">
        <v>56</v>
      </c>
      <c r="B89" t="s">
        <v>34</v>
      </c>
      <c r="C89" t="s">
        <v>304</v>
      </c>
      <c r="D89" t="str">
        <f t="shared" si="1"/>
        <v>GMB - Gambie</v>
      </c>
    </row>
    <row r="90" spans="1:4" x14ac:dyDescent="0.2">
      <c r="A90">
        <v>63</v>
      </c>
      <c r="B90" t="s">
        <v>191</v>
      </c>
      <c r="C90" t="s">
        <v>311</v>
      </c>
      <c r="D90" t="str">
        <f t="shared" si="1"/>
        <v>GNB - Guinea-Bissau</v>
      </c>
    </row>
    <row r="91" spans="1:4" x14ac:dyDescent="0.2">
      <c r="A91">
        <v>174</v>
      </c>
      <c r="B91" t="s">
        <v>220</v>
      </c>
      <c r="C91" t="s">
        <v>411</v>
      </c>
      <c r="D91" t="str">
        <f t="shared" si="1"/>
        <v>GNQ - Rovníková Guinea</v>
      </c>
    </row>
    <row r="92" spans="1:4" x14ac:dyDescent="0.2">
      <c r="A92">
        <v>177</v>
      </c>
      <c r="B92" t="s">
        <v>119</v>
      </c>
      <c r="C92" t="s">
        <v>510</v>
      </c>
      <c r="D92" t="str">
        <f t="shared" si="1"/>
        <v>GRC - Řecko</v>
      </c>
    </row>
    <row r="93" spans="1:4" x14ac:dyDescent="0.2">
      <c r="A93">
        <v>58</v>
      </c>
      <c r="B93" t="s">
        <v>36</v>
      </c>
      <c r="C93" t="s">
        <v>306</v>
      </c>
      <c r="D93" t="str">
        <f t="shared" si="1"/>
        <v>GRD - Grenada</v>
      </c>
    </row>
    <row r="94" spans="1:4" x14ac:dyDescent="0.2">
      <c r="A94">
        <v>107</v>
      </c>
      <c r="B94" t="s">
        <v>205</v>
      </c>
      <c r="C94" t="s">
        <v>350</v>
      </c>
      <c r="D94" t="str">
        <f t="shared" si="1"/>
        <v>GRL - Grónsko</v>
      </c>
    </row>
    <row r="95" spans="1:4" x14ac:dyDescent="0.2">
      <c r="A95">
        <v>61</v>
      </c>
      <c r="B95" t="s">
        <v>38</v>
      </c>
      <c r="C95" t="s">
        <v>309</v>
      </c>
      <c r="D95" t="str">
        <f t="shared" si="1"/>
        <v>GTM - Guatemala</v>
      </c>
    </row>
    <row r="96" spans="1:4" x14ac:dyDescent="0.2">
      <c r="A96">
        <v>192</v>
      </c>
      <c r="B96" t="s">
        <v>223</v>
      </c>
      <c r="C96" t="s">
        <v>428</v>
      </c>
      <c r="D96" t="str">
        <f t="shared" si="1"/>
        <v>GUF - Francouzská Guyana</v>
      </c>
    </row>
    <row r="97" spans="1:4" x14ac:dyDescent="0.2">
      <c r="A97">
        <v>60</v>
      </c>
      <c r="B97" t="s">
        <v>189</v>
      </c>
      <c r="C97" t="s">
        <v>308</v>
      </c>
      <c r="D97" t="str">
        <f t="shared" si="1"/>
        <v>GUM - Guam</v>
      </c>
    </row>
    <row r="98" spans="1:4" x14ac:dyDescent="0.2">
      <c r="A98">
        <v>196</v>
      </c>
      <c r="B98" t="s">
        <v>135</v>
      </c>
      <c r="C98" t="s">
        <v>432</v>
      </c>
      <c r="D98" t="str">
        <f t="shared" si="1"/>
        <v>GUY - Guyana</v>
      </c>
    </row>
    <row r="99" spans="1:4" x14ac:dyDescent="0.2">
      <c r="A99">
        <v>67</v>
      </c>
      <c r="B99" t="s">
        <v>41</v>
      </c>
      <c r="C99" t="s">
        <v>314</v>
      </c>
      <c r="D99" t="str">
        <f t="shared" si="1"/>
        <v>HKG - Hongkong</v>
      </c>
    </row>
    <row r="100" spans="1:4" x14ac:dyDescent="0.2">
      <c r="A100">
        <v>65</v>
      </c>
      <c r="B100" t="s">
        <v>192</v>
      </c>
      <c r="C100" t="s">
        <v>494</v>
      </c>
      <c r="D100" t="str">
        <f t="shared" si="1"/>
        <v>HMD - Heardův ostrov a McDonaldovy ostrovy</v>
      </c>
    </row>
    <row r="101" spans="1:4" x14ac:dyDescent="0.2">
      <c r="A101">
        <v>66</v>
      </c>
      <c r="B101" t="s">
        <v>40</v>
      </c>
      <c r="C101" t="s">
        <v>313</v>
      </c>
      <c r="D101" t="str">
        <f t="shared" si="1"/>
        <v>HND - Honduras</v>
      </c>
    </row>
    <row r="102" spans="1:4" x14ac:dyDescent="0.2">
      <c r="A102">
        <v>69</v>
      </c>
      <c r="B102" t="s">
        <v>43</v>
      </c>
      <c r="C102" t="s">
        <v>316</v>
      </c>
      <c r="D102" t="str">
        <f t="shared" si="1"/>
        <v>HRV - Chorvatsko</v>
      </c>
    </row>
    <row r="103" spans="1:4" x14ac:dyDescent="0.2">
      <c r="A103">
        <v>64</v>
      </c>
      <c r="B103" t="s">
        <v>39</v>
      </c>
      <c r="C103" t="s">
        <v>312</v>
      </c>
      <c r="D103" t="str">
        <f t="shared" si="1"/>
        <v>HTI - Haiti</v>
      </c>
    </row>
    <row r="104" spans="1:4" x14ac:dyDescent="0.2">
      <c r="A104">
        <v>129</v>
      </c>
      <c r="B104" t="s">
        <v>86</v>
      </c>
      <c r="C104" t="s">
        <v>546</v>
      </c>
      <c r="D104" t="str">
        <f t="shared" si="1"/>
        <v>HUN - Maďarsko</v>
      </c>
    </row>
    <row r="105" spans="1:4" x14ac:dyDescent="0.2">
      <c r="A105">
        <v>216</v>
      </c>
      <c r="B105" t="s">
        <v>150</v>
      </c>
      <c r="C105" t="s">
        <v>450</v>
      </c>
      <c r="D105" t="str">
        <f t="shared" si="1"/>
        <v>CHE - Švýcarsko</v>
      </c>
    </row>
    <row r="106" spans="1:4" x14ac:dyDescent="0.2">
      <c r="A106">
        <v>68</v>
      </c>
      <c r="B106" t="s">
        <v>42</v>
      </c>
      <c r="C106" t="s">
        <v>315</v>
      </c>
      <c r="D106" t="str">
        <f t="shared" si="1"/>
        <v>CHL - Chile</v>
      </c>
    </row>
    <row r="107" spans="1:4" x14ac:dyDescent="0.2">
      <c r="A107">
        <v>39</v>
      </c>
      <c r="B107" t="s">
        <v>183</v>
      </c>
      <c r="C107" t="s">
        <v>496</v>
      </c>
      <c r="D107" t="str">
        <f t="shared" si="1"/>
        <v>CHN - Čína</v>
      </c>
    </row>
    <row r="108" spans="1:4" x14ac:dyDescent="0.2">
      <c r="A108">
        <v>70</v>
      </c>
      <c r="B108" t="s">
        <v>44</v>
      </c>
      <c r="C108" t="s">
        <v>317</v>
      </c>
      <c r="D108" t="str">
        <f t="shared" si="1"/>
        <v>IDN - Indonésie</v>
      </c>
    </row>
    <row r="109" spans="1:4" x14ac:dyDescent="0.2">
      <c r="A109">
        <v>246</v>
      </c>
      <c r="B109" t="s">
        <v>168</v>
      </c>
      <c r="C109" t="s">
        <v>477</v>
      </c>
      <c r="D109" t="str">
        <f t="shared" si="1"/>
        <v>IMY - ostrov Man</v>
      </c>
    </row>
    <row r="110" spans="1:4" x14ac:dyDescent="0.2">
      <c r="A110">
        <v>197</v>
      </c>
      <c r="B110" t="s">
        <v>136</v>
      </c>
      <c r="C110" t="s">
        <v>433</v>
      </c>
      <c r="D110" t="str">
        <f t="shared" si="1"/>
        <v>IND - Indie</v>
      </c>
    </row>
    <row r="111" spans="1:4" x14ac:dyDescent="0.2">
      <c r="A111">
        <v>30</v>
      </c>
      <c r="B111" t="s">
        <v>181</v>
      </c>
      <c r="C111" t="s">
        <v>282</v>
      </c>
      <c r="D111" t="str">
        <f t="shared" si="1"/>
        <v>IOT - Britské indickooceánské území</v>
      </c>
    </row>
    <row r="112" spans="1:4" x14ac:dyDescent="0.2">
      <c r="A112">
        <v>73</v>
      </c>
      <c r="B112" t="s">
        <v>47</v>
      </c>
      <c r="C112" t="s">
        <v>320</v>
      </c>
      <c r="D112" t="str">
        <f t="shared" si="1"/>
        <v>IRL - Irsko</v>
      </c>
    </row>
    <row r="113" spans="1:4" x14ac:dyDescent="0.2">
      <c r="A113">
        <v>72</v>
      </c>
      <c r="B113" t="s">
        <v>46</v>
      </c>
      <c r="C113" t="s">
        <v>319</v>
      </c>
      <c r="D113" t="str">
        <f t="shared" si="1"/>
        <v>IRN - Írán</v>
      </c>
    </row>
    <row r="114" spans="1:4" x14ac:dyDescent="0.2">
      <c r="A114">
        <v>71</v>
      </c>
      <c r="B114" t="s">
        <v>45</v>
      </c>
      <c r="C114" t="s">
        <v>318</v>
      </c>
      <c r="D114" t="str">
        <f t="shared" si="1"/>
        <v>IRQ - Irák</v>
      </c>
    </row>
    <row r="115" spans="1:4" x14ac:dyDescent="0.2">
      <c r="A115">
        <v>74</v>
      </c>
      <c r="B115" t="s">
        <v>48</v>
      </c>
      <c r="C115" t="s">
        <v>321</v>
      </c>
      <c r="D115" t="str">
        <f t="shared" si="1"/>
        <v>ISL - Island</v>
      </c>
    </row>
    <row r="116" spans="1:4" x14ac:dyDescent="0.2">
      <c r="A116">
        <v>76</v>
      </c>
      <c r="B116" t="s">
        <v>50</v>
      </c>
      <c r="C116" t="s">
        <v>323</v>
      </c>
      <c r="D116" t="str">
        <f t="shared" si="1"/>
        <v>ISR - Izrael</v>
      </c>
    </row>
    <row r="117" spans="1:4" x14ac:dyDescent="0.2">
      <c r="A117">
        <v>75</v>
      </c>
      <c r="B117" t="s">
        <v>49</v>
      </c>
      <c r="C117" t="s">
        <v>322</v>
      </c>
      <c r="D117" t="str">
        <f t="shared" si="1"/>
        <v>ITA - Itálie</v>
      </c>
    </row>
    <row r="118" spans="1:4" x14ac:dyDescent="0.2">
      <c r="A118">
        <v>77</v>
      </c>
      <c r="B118" t="s">
        <v>51</v>
      </c>
      <c r="C118" t="s">
        <v>324</v>
      </c>
      <c r="D118" t="str">
        <f t="shared" si="1"/>
        <v>JAM - Jamajka</v>
      </c>
    </row>
    <row r="119" spans="1:4" x14ac:dyDescent="0.2">
      <c r="A119">
        <v>199</v>
      </c>
      <c r="B119" t="s">
        <v>138</v>
      </c>
      <c r="C119" t="s">
        <v>435</v>
      </c>
      <c r="D119" t="str">
        <f t="shared" si="1"/>
        <v>JOR - Jordánsko</v>
      </c>
    </row>
    <row r="120" spans="1:4" x14ac:dyDescent="0.2">
      <c r="A120">
        <v>198</v>
      </c>
      <c r="B120" t="s">
        <v>137</v>
      </c>
      <c r="C120" t="s">
        <v>434</v>
      </c>
      <c r="D120" t="str">
        <f t="shared" si="1"/>
        <v>JPN - Japonsko</v>
      </c>
    </row>
    <row r="121" spans="1:4" x14ac:dyDescent="0.2">
      <c r="A121">
        <v>87</v>
      </c>
      <c r="B121" t="s">
        <v>57</v>
      </c>
      <c r="C121" t="s">
        <v>333</v>
      </c>
      <c r="D121" t="str">
        <f t="shared" si="1"/>
        <v>KAZ - Kazachstán</v>
      </c>
    </row>
    <row r="122" spans="1:4" x14ac:dyDescent="0.2">
      <c r="A122">
        <v>88</v>
      </c>
      <c r="B122" t="s">
        <v>58</v>
      </c>
      <c r="C122" t="s">
        <v>547</v>
      </c>
      <c r="D122" t="str">
        <f t="shared" si="1"/>
        <v>KEN - Keňa</v>
      </c>
    </row>
    <row r="123" spans="1:4" x14ac:dyDescent="0.2">
      <c r="A123">
        <v>118</v>
      </c>
      <c r="B123" t="s">
        <v>76</v>
      </c>
      <c r="C123" t="s">
        <v>360</v>
      </c>
      <c r="D123" t="str">
        <f t="shared" si="1"/>
        <v>KGZ - Kyrgyzstán</v>
      </c>
    </row>
    <row r="124" spans="1:4" x14ac:dyDescent="0.2">
      <c r="A124">
        <v>83</v>
      </c>
      <c r="B124" t="s">
        <v>54</v>
      </c>
      <c r="C124" t="s">
        <v>329</v>
      </c>
      <c r="D124" t="str">
        <f t="shared" si="1"/>
        <v>KHM - Kambodža</v>
      </c>
    </row>
    <row r="125" spans="1:4" x14ac:dyDescent="0.2">
      <c r="A125">
        <v>89</v>
      </c>
      <c r="B125" t="s">
        <v>196</v>
      </c>
      <c r="C125" t="s">
        <v>334</v>
      </c>
      <c r="D125" t="str">
        <f t="shared" si="1"/>
        <v>KIR - Kiribati</v>
      </c>
    </row>
    <row r="126" spans="1:4" x14ac:dyDescent="0.2">
      <c r="A126">
        <v>207</v>
      </c>
      <c r="B126" t="s">
        <v>225</v>
      </c>
      <c r="C126" t="s">
        <v>442</v>
      </c>
      <c r="D126" t="str">
        <f t="shared" si="1"/>
        <v>KNA - Svatý Kryštof a Nevis</v>
      </c>
    </row>
    <row r="127" spans="1:4" x14ac:dyDescent="0.2">
      <c r="A127">
        <v>112</v>
      </c>
      <c r="B127" t="s">
        <v>71</v>
      </c>
      <c r="C127" t="s">
        <v>355</v>
      </c>
      <c r="D127" t="str">
        <f t="shared" si="1"/>
        <v>KOR - Korea</v>
      </c>
    </row>
    <row r="128" spans="1:4" x14ac:dyDescent="0.2">
      <c r="A128">
        <v>116</v>
      </c>
      <c r="B128" t="s">
        <v>74</v>
      </c>
      <c r="C128" t="s">
        <v>358</v>
      </c>
      <c r="D128" t="str">
        <f t="shared" si="1"/>
        <v>KWT - Kuvajt</v>
      </c>
    </row>
    <row r="129" spans="1:4" x14ac:dyDescent="0.2">
      <c r="A129">
        <v>119</v>
      </c>
      <c r="B129" t="s">
        <v>77</v>
      </c>
      <c r="C129" t="s">
        <v>361</v>
      </c>
      <c r="D129" t="str">
        <f t="shared" si="1"/>
        <v>LAO - Laos</v>
      </c>
    </row>
    <row r="130" spans="1:4" x14ac:dyDescent="0.2">
      <c r="A130">
        <v>121</v>
      </c>
      <c r="B130" t="s">
        <v>79</v>
      </c>
      <c r="C130" t="s">
        <v>363</v>
      </c>
      <c r="D130" t="str">
        <f t="shared" ref="D130:D193" si="2">CONCATENATE(B130, " - ",C130)</f>
        <v>LBN - Libanon</v>
      </c>
    </row>
    <row r="131" spans="1:4" x14ac:dyDescent="0.2">
      <c r="A131">
        <v>122</v>
      </c>
      <c r="B131" t="s">
        <v>80</v>
      </c>
      <c r="C131" t="s">
        <v>364</v>
      </c>
      <c r="D131" t="str">
        <f t="shared" si="2"/>
        <v>LBR - Libérie</v>
      </c>
    </row>
    <row r="132" spans="1:4" x14ac:dyDescent="0.2">
      <c r="A132">
        <v>123</v>
      </c>
      <c r="B132" t="s">
        <v>81</v>
      </c>
      <c r="C132" t="s">
        <v>365</v>
      </c>
      <c r="D132" t="str">
        <f t="shared" si="2"/>
        <v>LBY - Libye</v>
      </c>
    </row>
    <row r="133" spans="1:4" x14ac:dyDescent="0.2">
      <c r="A133">
        <v>103</v>
      </c>
      <c r="B133" t="s">
        <v>65</v>
      </c>
      <c r="C133" t="s">
        <v>346</v>
      </c>
      <c r="D133" t="str">
        <f t="shared" si="2"/>
        <v>LCA - Svatá Lucie</v>
      </c>
    </row>
    <row r="134" spans="1:4" x14ac:dyDescent="0.2">
      <c r="A134">
        <v>124</v>
      </c>
      <c r="B134" t="s">
        <v>82</v>
      </c>
      <c r="C134" t="s">
        <v>366</v>
      </c>
      <c r="D134" t="str">
        <f t="shared" si="2"/>
        <v>LIE - Lichtenštejnsko</v>
      </c>
    </row>
    <row r="135" spans="1:4" x14ac:dyDescent="0.2">
      <c r="A135">
        <v>191</v>
      </c>
      <c r="B135" t="s">
        <v>131</v>
      </c>
      <c r="C135" t="s">
        <v>427</v>
      </c>
      <c r="D135" t="str">
        <f t="shared" si="2"/>
        <v>LKA - Srí Lanka</v>
      </c>
    </row>
    <row r="136" spans="1:4" x14ac:dyDescent="0.2">
      <c r="A136">
        <v>120</v>
      </c>
      <c r="B136" t="s">
        <v>78</v>
      </c>
      <c r="C136" t="s">
        <v>362</v>
      </c>
      <c r="D136" t="str">
        <f t="shared" si="2"/>
        <v>LSO - Lesotho</v>
      </c>
    </row>
    <row r="137" spans="1:4" x14ac:dyDescent="0.2">
      <c r="A137">
        <v>125</v>
      </c>
      <c r="B137" t="s">
        <v>83</v>
      </c>
      <c r="C137" t="s">
        <v>367</v>
      </c>
      <c r="D137" t="str">
        <f t="shared" si="2"/>
        <v>LTU - Litva</v>
      </c>
    </row>
    <row r="138" spans="1:4" x14ac:dyDescent="0.2">
      <c r="A138">
        <v>126</v>
      </c>
      <c r="B138" t="s">
        <v>84</v>
      </c>
      <c r="C138" t="s">
        <v>368</v>
      </c>
      <c r="D138" t="str">
        <f t="shared" si="2"/>
        <v>LUX - Lucembursko</v>
      </c>
    </row>
    <row r="139" spans="1:4" x14ac:dyDescent="0.2">
      <c r="A139">
        <v>109</v>
      </c>
      <c r="B139" t="s">
        <v>69</v>
      </c>
      <c r="C139" t="s">
        <v>352</v>
      </c>
      <c r="D139" t="str">
        <f t="shared" si="2"/>
        <v>LVA - Lotyšsko</v>
      </c>
    </row>
    <row r="140" spans="1:4" x14ac:dyDescent="0.2">
      <c r="A140">
        <v>127</v>
      </c>
      <c r="B140" t="s">
        <v>208</v>
      </c>
      <c r="C140" t="s">
        <v>369</v>
      </c>
      <c r="D140" t="str">
        <f t="shared" si="2"/>
        <v>MAC - Macao</v>
      </c>
    </row>
    <row r="141" spans="1:4" x14ac:dyDescent="0.2">
      <c r="A141">
        <v>279</v>
      </c>
      <c r="B141" t="s">
        <v>560</v>
      </c>
      <c r="C141" t="s">
        <v>562</v>
      </c>
      <c r="D141" t="str">
        <f t="shared" si="2"/>
        <v>MAF - Saint Martin</v>
      </c>
    </row>
    <row r="142" spans="1:4" x14ac:dyDescent="0.2">
      <c r="A142">
        <v>136</v>
      </c>
      <c r="B142" t="s">
        <v>93</v>
      </c>
      <c r="C142" t="s">
        <v>377</v>
      </c>
      <c r="D142" t="str">
        <f t="shared" si="2"/>
        <v>MAR - Maroko</v>
      </c>
    </row>
    <row r="143" spans="1:4" x14ac:dyDescent="0.2">
      <c r="A143">
        <v>94</v>
      </c>
      <c r="B143" t="s">
        <v>61</v>
      </c>
      <c r="C143" t="s">
        <v>339</v>
      </c>
      <c r="D143" t="str">
        <f t="shared" si="2"/>
        <v>MCO - Monako</v>
      </c>
    </row>
    <row r="144" spans="1:4" x14ac:dyDescent="0.2">
      <c r="A144">
        <v>145</v>
      </c>
      <c r="B144" t="s">
        <v>97</v>
      </c>
      <c r="C144" t="s">
        <v>385</v>
      </c>
      <c r="D144" t="str">
        <f t="shared" si="2"/>
        <v>MDA - Moldavsko</v>
      </c>
    </row>
    <row r="145" spans="1:4" x14ac:dyDescent="0.2">
      <c r="A145">
        <v>128</v>
      </c>
      <c r="B145" t="s">
        <v>85</v>
      </c>
      <c r="C145" t="s">
        <v>370</v>
      </c>
      <c r="D145" t="str">
        <f t="shared" si="2"/>
        <v>MDG - Madagaskar</v>
      </c>
    </row>
    <row r="146" spans="1:4" x14ac:dyDescent="0.2">
      <c r="A146">
        <v>133</v>
      </c>
      <c r="B146" t="s">
        <v>90</v>
      </c>
      <c r="C146" t="s">
        <v>374</v>
      </c>
      <c r="D146" t="str">
        <f t="shared" si="2"/>
        <v>MDV - Maledivy</v>
      </c>
    </row>
    <row r="147" spans="1:4" x14ac:dyDescent="0.2">
      <c r="A147">
        <v>143</v>
      </c>
      <c r="B147" t="s">
        <v>96</v>
      </c>
      <c r="C147" t="s">
        <v>383</v>
      </c>
      <c r="D147" t="str">
        <f t="shared" si="2"/>
        <v>MEX - Mexiko</v>
      </c>
    </row>
    <row r="148" spans="1:4" x14ac:dyDescent="0.2">
      <c r="A148">
        <v>137</v>
      </c>
      <c r="B148" t="s">
        <v>209</v>
      </c>
      <c r="C148" t="s">
        <v>378</v>
      </c>
      <c r="D148" t="str">
        <f t="shared" si="2"/>
        <v>MHL - Marshallovy ostrovy</v>
      </c>
    </row>
    <row r="149" spans="1:4" x14ac:dyDescent="0.2">
      <c r="A149">
        <v>130</v>
      </c>
      <c r="B149" t="s">
        <v>87</v>
      </c>
      <c r="C149" t="s">
        <v>371</v>
      </c>
      <c r="D149" t="str">
        <f t="shared" si="2"/>
        <v>MKD - Makedonie</v>
      </c>
    </row>
    <row r="150" spans="1:4" x14ac:dyDescent="0.2">
      <c r="A150">
        <v>134</v>
      </c>
      <c r="B150" t="s">
        <v>91</v>
      </c>
      <c r="C150" t="s">
        <v>375</v>
      </c>
      <c r="D150" t="str">
        <f t="shared" si="2"/>
        <v>MLI - Mali</v>
      </c>
    </row>
    <row r="151" spans="1:4" x14ac:dyDescent="0.2">
      <c r="A151">
        <v>135</v>
      </c>
      <c r="B151" t="s">
        <v>92</v>
      </c>
      <c r="C151" t="s">
        <v>376</v>
      </c>
      <c r="D151" t="str">
        <f t="shared" si="2"/>
        <v>MLT - Malta</v>
      </c>
    </row>
    <row r="152" spans="1:4" x14ac:dyDescent="0.2">
      <c r="A152">
        <v>273</v>
      </c>
      <c r="B152" t="s">
        <v>214</v>
      </c>
      <c r="C152" t="s">
        <v>389</v>
      </c>
      <c r="D152" t="str">
        <f t="shared" si="2"/>
        <v>MMR - Myanmar</v>
      </c>
    </row>
    <row r="153" spans="1:4" x14ac:dyDescent="0.2">
      <c r="A153">
        <v>149</v>
      </c>
      <c r="B153" t="s">
        <v>550</v>
      </c>
      <c r="C153" t="s">
        <v>551</v>
      </c>
      <c r="D153" t="str">
        <f t="shared" si="2"/>
        <v>MNE - Černá Hora</v>
      </c>
    </row>
    <row r="154" spans="1:4" x14ac:dyDescent="0.2">
      <c r="A154">
        <v>146</v>
      </c>
      <c r="B154" t="s">
        <v>98</v>
      </c>
      <c r="C154" t="s">
        <v>386</v>
      </c>
      <c r="D154" t="str">
        <f t="shared" si="2"/>
        <v>MNG - Mongolsko</v>
      </c>
    </row>
    <row r="155" spans="1:4" x14ac:dyDescent="0.2">
      <c r="A155">
        <v>183</v>
      </c>
      <c r="B155" t="s">
        <v>222</v>
      </c>
      <c r="C155" t="s">
        <v>419</v>
      </c>
      <c r="D155" t="str">
        <f t="shared" si="2"/>
        <v>MNP - Severní Mariany</v>
      </c>
    </row>
    <row r="156" spans="1:4" x14ac:dyDescent="0.2">
      <c r="A156">
        <v>148</v>
      </c>
      <c r="B156" t="s">
        <v>99</v>
      </c>
      <c r="C156" t="s">
        <v>388</v>
      </c>
      <c r="D156" t="str">
        <f t="shared" si="2"/>
        <v>MOZ - Mosambik</v>
      </c>
    </row>
    <row r="157" spans="1:4" x14ac:dyDescent="0.2">
      <c r="A157">
        <v>139</v>
      </c>
      <c r="B157" t="s">
        <v>95</v>
      </c>
      <c r="C157" t="s">
        <v>380</v>
      </c>
      <c r="D157" t="str">
        <f t="shared" si="2"/>
        <v>MRT - Mauritánie</v>
      </c>
    </row>
    <row r="158" spans="1:4" x14ac:dyDescent="0.2">
      <c r="A158">
        <v>147</v>
      </c>
      <c r="B158" t="s">
        <v>213</v>
      </c>
      <c r="C158" t="s">
        <v>387</v>
      </c>
      <c r="D158" t="str">
        <f t="shared" si="2"/>
        <v>MSR - Montserrat</v>
      </c>
    </row>
    <row r="159" spans="1:4" x14ac:dyDescent="0.2">
      <c r="A159">
        <v>256</v>
      </c>
      <c r="B159" t="s">
        <v>245</v>
      </c>
      <c r="C159" t="s">
        <v>484</v>
      </c>
      <c r="D159" t="str">
        <f t="shared" si="2"/>
        <v>MTQ - Martinik</v>
      </c>
    </row>
    <row r="160" spans="1:4" x14ac:dyDescent="0.2">
      <c r="A160">
        <v>138</v>
      </c>
      <c r="B160" t="s">
        <v>94</v>
      </c>
      <c r="C160" t="s">
        <v>379</v>
      </c>
      <c r="D160" t="str">
        <f t="shared" si="2"/>
        <v>MUS - Mauricius</v>
      </c>
    </row>
    <row r="161" spans="1:4" x14ac:dyDescent="0.2">
      <c r="A161">
        <v>132</v>
      </c>
      <c r="B161" t="s">
        <v>89</v>
      </c>
      <c r="C161" t="s">
        <v>373</v>
      </c>
      <c r="D161" t="str">
        <f t="shared" si="2"/>
        <v>MWI - Malawi</v>
      </c>
    </row>
    <row r="162" spans="1:4" x14ac:dyDescent="0.2">
      <c r="A162">
        <v>131</v>
      </c>
      <c r="B162" t="s">
        <v>88</v>
      </c>
      <c r="C162" t="s">
        <v>372</v>
      </c>
      <c r="D162" t="str">
        <f t="shared" si="2"/>
        <v>MYS - Malajsie</v>
      </c>
    </row>
    <row r="163" spans="1:4" x14ac:dyDescent="0.2">
      <c r="A163">
        <v>140</v>
      </c>
      <c r="B163" t="s">
        <v>210</v>
      </c>
      <c r="C163" t="s">
        <v>381</v>
      </c>
      <c r="D163" t="str">
        <f t="shared" si="2"/>
        <v>MYT - Mayotte</v>
      </c>
    </row>
    <row r="164" spans="1:4" x14ac:dyDescent="0.2">
      <c r="A164">
        <v>150</v>
      </c>
      <c r="B164" t="s">
        <v>100</v>
      </c>
      <c r="C164" t="s">
        <v>390</v>
      </c>
      <c r="D164" t="str">
        <f t="shared" si="2"/>
        <v>NAM - Namibie</v>
      </c>
    </row>
    <row r="165" spans="1:4" x14ac:dyDescent="0.2">
      <c r="A165">
        <v>160</v>
      </c>
      <c r="B165" t="s">
        <v>217</v>
      </c>
      <c r="C165" t="s">
        <v>399</v>
      </c>
      <c r="D165" t="str">
        <f t="shared" si="2"/>
        <v>NCL - Nová Kaledonie</v>
      </c>
    </row>
    <row r="166" spans="1:4" x14ac:dyDescent="0.2">
      <c r="A166">
        <v>154</v>
      </c>
      <c r="B166" t="s">
        <v>103</v>
      </c>
      <c r="C166" t="s">
        <v>393</v>
      </c>
      <c r="D166" t="str">
        <f t="shared" si="2"/>
        <v>NER - Niger</v>
      </c>
    </row>
    <row r="167" spans="1:4" x14ac:dyDescent="0.2">
      <c r="A167">
        <v>110</v>
      </c>
      <c r="B167" t="s">
        <v>206</v>
      </c>
      <c r="C167" t="s">
        <v>353</v>
      </c>
      <c r="D167" t="str">
        <f t="shared" si="2"/>
        <v>NFK - Norfolk</v>
      </c>
    </row>
    <row r="168" spans="1:4" x14ac:dyDescent="0.2">
      <c r="A168">
        <v>155</v>
      </c>
      <c r="B168" t="s">
        <v>104</v>
      </c>
      <c r="C168" t="s">
        <v>394</v>
      </c>
      <c r="D168" t="str">
        <f t="shared" si="2"/>
        <v>NGA - Nigérie</v>
      </c>
    </row>
    <row r="169" spans="1:4" x14ac:dyDescent="0.2">
      <c r="A169">
        <v>156</v>
      </c>
      <c r="B169" t="s">
        <v>105</v>
      </c>
      <c r="C169" t="s">
        <v>395</v>
      </c>
      <c r="D169" t="str">
        <f t="shared" si="2"/>
        <v>NIC - Nikaragua</v>
      </c>
    </row>
    <row r="170" spans="1:4" x14ac:dyDescent="0.2">
      <c r="A170">
        <v>157</v>
      </c>
      <c r="B170" t="s">
        <v>216</v>
      </c>
      <c r="C170" t="s">
        <v>396</v>
      </c>
      <c r="D170" t="str">
        <f t="shared" si="2"/>
        <v>NIU - Niue</v>
      </c>
    </row>
    <row r="171" spans="1:4" x14ac:dyDescent="0.2">
      <c r="A171">
        <v>158</v>
      </c>
      <c r="B171" t="s">
        <v>106</v>
      </c>
      <c r="C171" t="s">
        <v>397</v>
      </c>
      <c r="D171" t="str">
        <f t="shared" si="2"/>
        <v>NLD - Nizozemsko</v>
      </c>
    </row>
    <row r="172" spans="1:4" x14ac:dyDescent="0.2">
      <c r="A172">
        <v>159</v>
      </c>
      <c r="B172" t="s">
        <v>107</v>
      </c>
      <c r="C172" t="s">
        <v>398</v>
      </c>
      <c r="D172" t="str">
        <f t="shared" si="2"/>
        <v>NOR - Norsko</v>
      </c>
    </row>
    <row r="173" spans="1:4" x14ac:dyDescent="0.2">
      <c r="A173">
        <v>153</v>
      </c>
      <c r="B173" t="s">
        <v>102</v>
      </c>
      <c r="C173" t="s">
        <v>392</v>
      </c>
      <c r="D173" t="str">
        <f t="shared" si="2"/>
        <v>NPL - Nepál</v>
      </c>
    </row>
    <row r="174" spans="1:4" x14ac:dyDescent="0.2">
      <c r="A174">
        <v>151</v>
      </c>
      <c r="B174" t="s">
        <v>215</v>
      </c>
      <c r="C174" t="s">
        <v>391</v>
      </c>
      <c r="D174" t="str">
        <f t="shared" si="2"/>
        <v>NRU - Nauru</v>
      </c>
    </row>
    <row r="175" spans="1:4" x14ac:dyDescent="0.2">
      <c r="A175">
        <v>247</v>
      </c>
      <c r="B175" t="s">
        <v>239</v>
      </c>
      <c r="C175" t="s">
        <v>478</v>
      </c>
      <c r="D175" t="str">
        <f t="shared" si="2"/>
        <v>NTZ - neutrální zóna</v>
      </c>
    </row>
    <row r="176" spans="1:4" x14ac:dyDescent="0.2">
      <c r="A176">
        <v>161</v>
      </c>
      <c r="B176" t="s">
        <v>108</v>
      </c>
      <c r="C176" t="s">
        <v>400</v>
      </c>
      <c r="D176" t="str">
        <f t="shared" si="2"/>
        <v>NZL - Nový Zéland</v>
      </c>
    </row>
    <row r="177" spans="1:4" x14ac:dyDescent="0.2">
      <c r="A177">
        <v>163</v>
      </c>
      <c r="B177" t="s">
        <v>109</v>
      </c>
      <c r="C177" t="s">
        <v>401</v>
      </c>
      <c r="D177" t="str">
        <f t="shared" si="2"/>
        <v>OMN - Omán</v>
      </c>
    </row>
    <row r="178" spans="1:4" x14ac:dyDescent="0.2">
      <c r="A178">
        <v>164</v>
      </c>
      <c r="B178" t="s">
        <v>110</v>
      </c>
      <c r="C178" t="s">
        <v>402</v>
      </c>
      <c r="D178" t="str">
        <f t="shared" si="2"/>
        <v>PAK - Pákistán</v>
      </c>
    </row>
    <row r="179" spans="1:4" x14ac:dyDescent="0.2">
      <c r="A179">
        <v>166</v>
      </c>
      <c r="B179" t="s">
        <v>111</v>
      </c>
      <c r="C179" t="s">
        <v>404</v>
      </c>
      <c r="D179" t="str">
        <f t="shared" si="2"/>
        <v>PAN - Panama</v>
      </c>
    </row>
    <row r="180" spans="1:4" x14ac:dyDescent="0.2">
      <c r="A180">
        <v>248</v>
      </c>
      <c r="B180" t="s">
        <v>240</v>
      </c>
      <c r="C180" t="s">
        <v>500</v>
      </c>
      <c r="D180" t="str">
        <f t="shared" si="2"/>
        <v>PCI - Tichomořské ostrovy</v>
      </c>
    </row>
    <row r="181" spans="1:4" x14ac:dyDescent="0.2">
      <c r="A181">
        <v>169</v>
      </c>
      <c r="B181" t="s">
        <v>219</v>
      </c>
      <c r="C181" t="s">
        <v>407</v>
      </c>
      <c r="D181" t="str">
        <f t="shared" si="2"/>
        <v>PCN - Pitcairn</v>
      </c>
    </row>
    <row r="182" spans="1:4" x14ac:dyDescent="0.2">
      <c r="A182">
        <v>168</v>
      </c>
      <c r="B182" t="s">
        <v>113</v>
      </c>
      <c r="C182" t="s">
        <v>406</v>
      </c>
      <c r="D182" t="str">
        <f t="shared" si="2"/>
        <v>PER - Peru</v>
      </c>
    </row>
    <row r="183" spans="1:4" x14ac:dyDescent="0.2">
      <c r="A183">
        <v>51</v>
      </c>
      <c r="B183" t="s">
        <v>31</v>
      </c>
      <c r="C183" t="s">
        <v>299</v>
      </c>
      <c r="D183" t="str">
        <f t="shared" si="2"/>
        <v>PHL - Filipíny</v>
      </c>
    </row>
    <row r="184" spans="1:4" x14ac:dyDescent="0.2">
      <c r="A184">
        <v>165</v>
      </c>
      <c r="B184" t="s">
        <v>218</v>
      </c>
      <c r="C184" t="s">
        <v>403</v>
      </c>
      <c r="D184" t="str">
        <f t="shared" si="2"/>
        <v>PLW - Palau</v>
      </c>
    </row>
    <row r="185" spans="1:4" x14ac:dyDescent="0.2">
      <c r="A185">
        <v>202</v>
      </c>
      <c r="B185" t="s">
        <v>140</v>
      </c>
      <c r="C185" t="s">
        <v>438</v>
      </c>
      <c r="D185" t="str">
        <f t="shared" si="2"/>
        <v>PNG - Papua Nová Guinea</v>
      </c>
    </row>
    <row r="186" spans="1:4" x14ac:dyDescent="0.2">
      <c r="A186">
        <v>171</v>
      </c>
      <c r="B186" t="s">
        <v>115</v>
      </c>
      <c r="C186" t="s">
        <v>408</v>
      </c>
      <c r="D186" t="str">
        <f t="shared" si="2"/>
        <v>POL - Polsko</v>
      </c>
    </row>
    <row r="187" spans="1:4" x14ac:dyDescent="0.2">
      <c r="A187">
        <v>257</v>
      </c>
      <c r="B187" t="s">
        <v>246</v>
      </c>
      <c r="C187" t="s">
        <v>485</v>
      </c>
      <c r="D187" t="str">
        <f t="shared" si="2"/>
        <v>PRI - Portoriko</v>
      </c>
    </row>
    <row r="188" spans="1:4" x14ac:dyDescent="0.2">
      <c r="A188">
        <v>113</v>
      </c>
      <c r="B188" t="s">
        <v>207</v>
      </c>
      <c r="C188" t="s">
        <v>504</v>
      </c>
      <c r="D188" t="str">
        <f t="shared" si="2"/>
        <v>PRK - Korea, lidově demokratická republika</v>
      </c>
    </row>
    <row r="189" spans="1:4" x14ac:dyDescent="0.2">
      <c r="A189">
        <v>172</v>
      </c>
      <c r="B189" t="s">
        <v>116</v>
      </c>
      <c r="C189" t="s">
        <v>409</v>
      </c>
      <c r="D189" t="str">
        <f t="shared" si="2"/>
        <v>PRT - Portugalsko</v>
      </c>
    </row>
    <row r="190" spans="1:4" x14ac:dyDescent="0.2">
      <c r="A190">
        <v>167</v>
      </c>
      <c r="B190" t="s">
        <v>112</v>
      </c>
      <c r="C190" t="s">
        <v>405</v>
      </c>
      <c r="D190" t="str">
        <f t="shared" si="2"/>
        <v>PRY - Paraguay</v>
      </c>
    </row>
    <row r="191" spans="1:4" x14ac:dyDescent="0.2">
      <c r="A191">
        <v>255</v>
      </c>
      <c r="B191" t="s">
        <v>244</v>
      </c>
      <c r="C191" t="s">
        <v>483</v>
      </c>
      <c r="D191" t="str">
        <f t="shared" si="2"/>
        <v>PSE - Palestina</v>
      </c>
    </row>
    <row r="192" spans="1:4" x14ac:dyDescent="0.2">
      <c r="A192">
        <v>249</v>
      </c>
      <c r="B192" t="s">
        <v>241</v>
      </c>
      <c r="C192" t="s">
        <v>479</v>
      </c>
      <c r="D192" t="str">
        <f t="shared" si="2"/>
        <v>PUS - ostrovy USA v Tichém oceánu</v>
      </c>
    </row>
    <row r="193" spans="1:4" x14ac:dyDescent="0.2">
      <c r="A193">
        <v>54</v>
      </c>
      <c r="B193" t="s">
        <v>188</v>
      </c>
      <c r="C193" t="s">
        <v>302</v>
      </c>
      <c r="D193" t="str">
        <f t="shared" si="2"/>
        <v>PYF - Francouzská Polynésie</v>
      </c>
    </row>
    <row r="194" spans="1:4" x14ac:dyDescent="0.2">
      <c r="A194">
        <v>108</v>
      </c>
      <c r="B194" t="s">
        <v>68</v>
      </c>
      <c r="C194" t="s">
        <v>351</v>
      </c>
      <c r="D194" t="str">
        <f t="shared" ref="D194:D257" si="3">CONCATENATE(B194, " - ",C194)</f>
        <v>QAT - Katar</v>
      </c>
    </row>
    <row r="195" spans="1:4" x14ac:dyDescent="0.2">
      <c r="A195">
        <v>95</v>
      </c>
      <c r="B195" t="s">
        <v>199</v>
      </c>
      <c r="C195" t="s">
        <v>340</v>
      </c>
      <c r="D195" t="str">
        <f t="shared" si="3"/>
        <v>REU - Reunion</v>
      </c>
    </row>
    <row r="196" spans="1:4" x14ac:dyDescent="0.2">
      <c r="A196">
        <v>274</v>
      </c>
      <c r="B196" t="s">
        <v>552</v>
      </c>
      <c r="C196" t="s">
        <v>553</v>
      </c>
      <c r="D196" t="str">
        <f t="shared" si="3"/>
        <v>RKS - Republika Kosovo</v>
      </c>
    </row>
    <row r="197" spans="1:4" x14ac:dyDescent="0.2">
      <c r="A197">
        <v>175</v>
      </c>
      <c r="B197" t="s">
        <v>541</v>
      </c>
      <c r="C197" t="s">
        <v>412</v>
      </c>
      <c r="D197" t="str">
        <f t="shared" si="3"/>
        <v>ROU - Rumunsko</v>
      </c>
    </row>
    <row r="198" spans="1:4" x14ac:dyDescent="0.2">
      <c r="A198">
        <v>203</v>
      </c>
      <c r="B198" t="s">
        <v>141</v>
      </c>
      <c r="C198" t="s">
        <v>439</v>
      </c>
      <c r="D198" t="str">
        <f t="shared" si="3"/>
        <v>RUS - Rusko</v>
      </c>
    </row>
    <row r="199" spans="1:4" x14ac:dyDescent="0.2">
      <c r="A199">
        <v>176</v>
      </c>
      <c r="B199" t="s">
        <v>118</v>
      </c>
      <c r="C199" t="s">
        <v>413</v>
      </c>
      <c r="D199" t="str">
        <f t="shared" si="3"/>
        <v>RWA - Rwanda</v>
      </c>
    </row>
    <row r="200" spans="1:4" x14ac:dyDescent="0.2">
      <c r="A200">
        <v>204</v>
      </c>
      <c r="B200" t="s">
        <v>142</v>
      </c>
      <c r="C200" t="s">
        <v>440</v>
      </c>
      <c r="D200" t="str">
        <f t="shared" si="3"/>
        <v>SAU - Saúdská Arábie</v>
      </c>
    </row>
    <row r="201" spans="1:4" x14ac:dyDescent="0.2">
      <c r="A201">
        <v>271</v>
      </c>
      <c r="B201" t="s">
        <v>542</v>
      </c>
      <c r="C201" t="s">
        <v>543</v>
      </c>
      <c r="D201" t="str">
        <f t="shared" si="3"/>
        <v>SCG - Srbsko a Černá Hora</v>
      </c>
    </row>
    <row r="202" spans="1:4" x14ac:dyDescent="0.2">
      <c r="A202">
        <v>100</v>
      </c>
      <c r="B202" t="s">
        <v>63</v>
      </c>
      <c r="C202" t="s">
        <v>343</v>
      </c>
      <c r="D202" t="str">
        <f t="shared" si="3"/>
        <v>SDN - Súdán</v>
      </c>
    </row>
    <row r="203" spans="1:4" x14ac:dyDescent="0.2">
      <c r="A203">
        <v>182</v>
      </c>
      <c r="B203" t="s">
        <v>123</v>
      </c>
      <c r="C203" t="s">
        <v>418</v>
      </c>
      <c r="D203" t="str">
        <f t="shared" si="3"/>
        <v>SEN - Senegal</v>
      </c>
    </row>
    <row r="204" spans="1:4" x14ac:dyDescent="0.2">
      <c r="A204">
        <v>186</v>
      </c>
      <c r="B204" t="s">
        <v>126</v>
      </c>
      <c r="C204" t="s">
        <v>422</v>
      </c>
      <c r="D204" t="str">
        <f t="shared" si="3"/>
        <v>SGP - Singapur</v>
      </c>
    </row>
    <row r="205" spans="1:4" x14ac:dyDescent="0.2">
      <c r="A205">
        <v>80</v>
      </c>
      <c r="B205" t="s">
        <v>193</v>
      </c>
      <c r="C205" t="s">
        <v>327</v>
      </c>
      <c r="D205" t="str">
        <f t="shared" si="3"/>
        <v>SGS - Jižní Georgie a Jižní Sandwichovy ostrovy</v>
      </c>
    </row>
    <row r="206" spans="1:4" x14ac:dyDescent="0.2">
      <c r="A206">
        <v>102</v>
      </c>
      <c r="B206" t="s">
        <v>203</v>
      </c>
      <c r="C206" t="s">
        <v>345</v>
      </c>
      <c r="D206" t="str">
        <f t="shared" si="3"/>
        <v>SHN - Svatá Helena</v>
      </c>
    </row>
    <row r="207" spans="1:4" x14ac:dyDescent="0.2">
      <c r="A207">
        <v>258</v>
      </c>
      <c r="B207" t="s">
        <v>247</v>
      </c>
      <c r="C207" t="s">
        <v>486</v>
      </c>
      <c r="D207" t="str">
        <f t="shared" si="3"/>
        <v>SJM - Svalbard and Jan Mayen Islands</v>
      </c>
    </row>
    <row r="208" spans="1:4" x14ac:dyDescent="0.2">
      <c r="A208">
        <v>213</v>
      </c>
      <c r="B208" t="s">
        <v>227</v>
      </c>
      <c r="C208" t="s">
        <v>448</v>
      </c>
      <c r="D208" t="str">
        <f t="shared" si="3"/>
        <v>SLB - Šalamounovy ostrovy</v>
      </c>
    </row>
    <row r="209" spans="1:4" x14ac:dyDescent="0.2">
      <c r="A209">
        <v>185</v>
      </c>
      <c r="B209" t="s">
        <v>125</v>
      </c>
      <c r="C209" t="s">
        <v>421</v>
      </c>
      <c r="D209" t="str">
        <f t="shared" si="3"/>
        <v>SLE - Sierra Leone</v>
      </c>
    </row>
    <row r="210" spans="1:4" x14ac:dyDescent="0.2">
      <c r="A210">
        <v>179</v>
      </c>
      <c r="B210" t="s">
        <v>120</v>
      </c>
      <c r="C210" t="s">
        <v>415</v>
      </c>
      <c r="D210" t="str">
        <f t="shared" si="3"/>
        <v>SLV - Salvador</v>
      </c>
    </row>
    <row r="211" spans="1:4" x14ac:dyDescent="0.2">
      <c r="A211">
        <v>181</v>
      </c>
      <c r="B211" t="s">
        <v>122</v>
      </c>
      <c r="C211" t="s">
        <v>417</v>
      </c>
      <c r="D211" t="str">
        <f t="shared" si="3"/>
        <v>SMR - San Marino</v>
      </c>
    </row>
    <row r="212" spans="1:4" x14ac:dyDescent="0.2">
      <c r="A212">
        <v>270</v>
      </c>
      <c r="B212" t="s">
        <v>255</v>
      </c>
      <c r="C212" t="s">
        <v>489</v>
      </c>
      <c r="D212" t="str">
        <f t="shared" si="3"/>
        <v>SNS - Spol. nezávisl.st.</v>
      </c>
    </row>
    <row r="213" spans="1:4" x14ac:dyDescent="0.2">
      <c r="A213">
        <v>111</v>
      </c>
      <c r="B213" t="s">
        <v>70</v>
      </c>
      <c r="C213" t="s">
        <v>354</v>
      </c>
      <c r="D213" t="str">
        <f t="shared" si="3"/>
        <v>SOM - Somálsko</v>
      </c>
    </row>
    <row r="214" spans="1:4" x14ac:dyDescent="0.2">
      <c r="A214">
        <v>178</v>
      </c>
      <c r="B214" t="s">
        <v>221</v>
      </c>
      <c r="C214" t="s">
        <v>414</v>
      </c>
      <c r="D214" t="str">
        <f t="shared" si="3"/>
        <v>SPM - Saint Pierre a Miquelon</v>
      </c>
    </row>
    <row r="215" spans="1:4" x14ac:dyDescent="0.2">
      <c r="A215">
        <v>275</v>
      </c>
      <c r="B215" t="s">
        <v>548</v>
      </c>
      <c r="C215" t="s">
        <v>549</v>
      </c>
      <c r="D215" t="str">
        <f t="shared" si="3"/>
        <v>SRB - Srbsko</v>
      </c>
    </row>
    <row r="216" spans="1:4" x14ac:dyDescent="0.2">
      <c r="A216">
        <v>276</v>
      </c>
      <c r="B216" t="s">
        <v>569</v>
      </c>
      <c r="C216" t="s">
        <v>570</v>
      </c>
      <c r="D216" t="str">
        <f t="shared" si="3"/>
        <v>SSD - Jižní Súdán</v>
      </c>
    </row>
    <row r="217" spans="1:4" x14ac:dyDescent="0.2">
      <c r="A217">
        <v>209</v>
      </c>
      <c r="B217" t="s">
        <v>226</v>
      </c>
      <c r="C217" t="s">
        <v>444</v>
      </c>
      <c r="D217" t="str">
        <f t="shared" si="3"/>
        <v>STP - Svatý Tomáš</v>
      </c>
    </row>
    <row r="218" spans="1:4" x14ac:dyDescent="0.2">
      <c r="A218">
        <v>101</v>
      </c>
      <c r="B218" t="s">
        <v>64</v>
      </c>
      <c r="C218" t="s">
        <v>344</v>
      </c>
      <c r="D218" t="str">
        <f t="shared" si="3"/>
        <v>SUR - Surinam</v>
      </c>
    </row>
    <row r="219" spans="1:4" x14ac:dyDescent="0.2">
      <c r="A219">
        <v>187</v>
      </c>
      <c r="B219" t="s">
        <v>127</v>
      </c>
      <c r="C219" t="s">
        <v>423</v>
      </c>
      <c r="D219" t="str">
        <f t="shared" si="3"/>
        <v>SVK - Slovensko</v>
      </c>
    </row>
    <row r="220" spans="1:4" x14ac:dyDescent="0.2">
      <c r="A220">
        <v>188</v>
      </c>
      <c r="B220" t="s">
        <v>128</v>
      </c>
      <c r="C220" t="s">
        <v>424</v>
      </c>
      <c r="D220" t="str">
        <f t="shared" si="3"/>
        <v>SVN - Slovinsko</v>
      </c>
    </row>
    <row r="221" spans="1:4" x14ac:dyDescent="0.2">
      <c r="A221">
        <v>215</v>
      </c>
      <c r="B221" t="s">
        <v>149</v>
      </c>
      <c r="C221" t="s">
        <v>449</v>
      </c>
      <c r="D221" t="str">
        <f t="shared" si="3"/>
        <v>SWE - Švédsko</v>
      </c>
    </row>
    <row r="222" spans="1:4" x14ac:dyDescent="0.2">
      <c r="A222">
        <v>211</v>
      </c>
      <c r="B222" t="s">
        <v>146</v>
      </c>
      <c r="C222" t="s">
        <v>446</v>
      </c>
      <c r="D222" t="str">
        <f t="shared" si="3"/>
        <v>SWZ - Svazijsko</v>
      </c>
    </row>
    <row r="223" spans="1:4" x14ac:dyDescent="0.2">
      <c r="A223">
        <v>282</v>
      </c>
      <c r="B223" t="s">
        <v>566</v>
      </c>
      <c r="C223" t="s">
        <v>568</v>
      </c>
      <c r="D223" t="str">
        <f t="shared" si="3"/>
        <v>SXM - Sint Maarten (Dutch part)</v>
      </c>
    </row>
    <row r="224" spans="1:4" x14ac:dyDescent="0.2">
      <c r="A224">
        <v>184</v>
      </c>
      <c r="B224" t="s">
        <v>124</v>
      </c>
      <c r="C224" t="s">
        <v>420</v>
      </c>
      <c r="D224" t="str">
        <f t="shared" si="3"/>
        <v>SYC - Seychely</v>
      </c>
    </row>
    <row r="225" spans="1:4" x14ac:dyDescent="0.2">
      <c r="A225">
        <v>212</v>
      </c>
      <c r="B225" t="s">
        <v>147</v>
      </c>
      <c r="C225" t="s">
        <v>447</v>
      </c>
      <c r="D225" t="str">
        <f t="shared" si="3"/>
        <v>SYR - Sýrie</v>
      </c>
    </row>
    <row r="226" spans="1:4" x14ac:dyDescent="0.2">
      <c r="A226">
        <v>228</v>
      </c>
      <c r="B226" t="s">
        <v>230</v>
      </c>
      <c r="C226" t="s">
        <v>462</v>
      </c>
      <c r="D226" t="str">
        <f t="shared" si="3"/>
        <v>TCA - Turks a Caicos</v>
      </c>
    </row>
    <row r="227" spans="1:4" x14ac:dyDescent="0.2">
      <c r="A227">
        <v>37</v>
      </c>
      <c r="B227" t="s">
        <v>22</v>
      </c>
      <c r="C227" t="s">
        <v>495</v>
      </c>
      <c r="D227" t="str">
        <f t="shared" si="3"/>
        <v>TCD - Čad</v>
      </c>
    </row>
    <row r="228" spans="1:4" x14ac:dyDescent="0.2">
      <c r="A228">
        <v>221</v>
      </c>
      <c r="B228" t="s">
        <v>155</v>
      </c>
      <c r="C228" t="s">
        <v>455</v>
      </c>
      <c r="D228" t="str">
        <f t="shared" si="3"/>
        <v>TGO - Togo</v>
      </c>
    </row>
    <row r="229" spans="1:4" x14ac:dyDescent="0.2">
      <c r="A229">
        <v>219</v>
      </c>
      <c r="B229" t="s">
        <v>153</v>
      </c>
      <c r="C229" t="s">
        <v>453</v>
      </c>
      <c r="D229" t="str">
        <f t="shared" si="3"/>
        <v>THA - Thajsko</v>
      </c>
    </row>
    <row r="230" spans="1:4" x14ac:dyDescent="0.2">
      <c r="A230">
        <v>217</v>
      </c>
      <c r="B230" t="s">
        <v>151</v>
      </c>
      <c r="C230" t="s">
        <v>451</v>
      </c>
      <c r="D230" t="str">
        <f t="shared" si="3"/>
        <v>TJK - Tádžikistán</v>
      </c>
    </row>
    <row r="231" spans="1:4" x14ac:dyDescent="0.2">
      <c r="A231">
        <v>222</v>
      </c>
      <c r="B231" t="s">
        <v>228</v>
      </c>
      <c r="C231" t="s">
        <v>456</v>
      </c>
      <c r="D231" t="str">
        <f t="shared" si="3"/>
        <v>TKL - Tokelau</v>
      </c>
    </row>
    <row r="232" spans="1:4" x14ac:dyDescent="0.2">
      <c r="A232">
        <v>227</v>
      </c>
      <c r="B232" t="s">
        <v>159</v>
      </c>
      <c r="C232" t="s">
        <v>461</v>
      </c>
      <c r="D232" t="str">
        <f t="shared" si="3"/>
        <v>TKM - Turkmenistán</v>
      </c>
    </row>
    <row r="233" spans="1:4" x14ac:dyDescent="0.2">
      <c r="A233">
        <v>238</v>
      </c>
      <c r="B233" t="s">
        <v>544</v>
      </c>
      <c r="C233" t="s">
        <v>471</v>
      </c>
      <c r="D233" t="str">
        <f t="shared" si="3"/>
        <v>TLS - Východní Timor</v>
      </c>
    </row>
    <row r="234" spans="1:4" x14ac:dyDescent="0.2">
      <c r="A234">
        <v>223</v>
      </c>
      <c r="B234" t="s">
        <v>229</v>
      </c>
      <c r="C234" t="s">
        <v>457</v>
      </c>
      <c r="D234" t="str">
        <f t="shared" si="3"/>
        <v>TON - Tonga</v>
      </c>
    </row>
    <row r="235" spans="1:4" x14ac:dyDescent="0.2">
      <c r="A235">
        <v>224</v>
      </c>
      <c r="B235" t="s">
        <v>156</v>
      </c>
      <c r="C235" t="s">
        <v>458</v>
      </c>
      <c r="D235" t="str">
        <f t="shared" si="3"/>
        <v>TTO - Trinidad a Tobago</v>
      </c>
    </row>
    <row r="236" spans="1:4" x14ac:dyDescent="0.2">
      <c r="A236">
        <v>225</v>
      </c>
      <c r="B236" t="s">
        <v>157</v>
      </c>
      <c r="C236" t="s">
        <v>459</v>
      </c>
      <c r="D236" t="str">
        <f t="shared" si="3"/>
        <v>TUN - Tunisko</v>
      </c>
    </row>
    <row r="237" spans="1:4" x14ac:dyDescent="0.2">
      <c r="A237">
        <v>226</v>
      </c>
      <c r="B237" t="s">
        <v>158</v>
      </c>
      <c r="C237" t="s">
        <v>460</v>
      </c>
      <c r="D237" t="str">
        <f t="shared" si="3"/>
        <v>TUR - Turecko</v>
      </c>
    </row>
    <row r="238" spans="1:4" x14ac:dyDescent="0.2">
      <c r="A238">
        <v>229</v>
      </c>
      <c r="B238" t="s">
        <v>231</v>
      </c>
      <c r="C238" t="s">
        <v>463</v>
      </c>
      <c r="D238" t="str">
        <f t="shared" si="3"/>
        <v>TUV - Tuvalu</v>
      </c>
    </row>
    <row r="239" spans="1:4" x14ac:dyDescent="0.2">
      <c r="A239">
        <v>220</v>
      </c>
      <c r="B239" t="s">
        <v>154</v>
      </c>
      <c r="C239" t="s">
        <v>454</v>
      </c>
      <c r="D239" t="str">
        <f t="shared" si="3"/>
        <v>TWN - Tchaj-wan</v>
      </c>
    </row>
    <row r="240" spans="1:4" x14ac:dyDescent="0.2">
      <c r="A240">
        <v>218</v>
      </c>
      <c r="B240" t="s">
        <v>152</v>
      </c>
      <c r="C240" t="s">
        <v>452</v>
      </c>
      <c r="D240" t="str">
        <f t="shared" si="3"/>
        <v>TZA - Tanzánie</v>
      </c>
    </row>
    <row r="241" spans="1:4" x14ac:dyDescent="0.2">
      <c r="A241">
        <v>230</v>
      </c>
      <c r="B241" t="s">
        <v>160</v>
      </c>
      <c r="C241" t="s">
        <v>464</v>
      </c>
      <c r="D241" t="str">
        <f t="shared" si="3"/>
        <v>UGA - Uganda</v>
      </c>
    </row>
    <row r="242" spans="1:4" x14ac:dyDescent="0.2">
      <c r="A242">
        <v>231</v>
      </c>
      <c r="B242" t="s">
        <v>161</v>
      </c>
      <c r="C242" t="s">
        <v>465</v>
      </c>
      <c r="D242" t="str">
        <f t="shared" si="3"/>
        <v>UKR - Ukrajina</v>
      </c>
    </row>
    <row r="243" spans="1:4" x14ac:dyDescent="0.2">
      <c r="A243">
        <v>142</v>
      </c>
      <c r="B243" t="s">
        <v>211</v>
      </c>
      <c r="C243" t="s">
        <v>382</v>
      </c>
      <c r="D243" t="str">
        <f t="shared" si="3"/>
        <v>UMI - Menší odlehlé ostrovy USA</v>
      </c>
    </row>
    <row r="244" spans="1:4" x14ac:dyDescent="0.2">
      <c r="A244">
        <v>97</v>
      </c>
      <c r="B244" t="s">
        <v>201</v>
      </c>
      <c r="C244" t="s">
        <v>491</v>
      </c>
      <c r="D244" t="str">
        <f t="shared" si="3"/>
        <v>UNA - Agentura spojených národů</v>
      </c>
    </row>
    <row r="245" spans="1:4" x14ac:dyDescent="0.2">
      <c r="A245">
        <v>276</v>
      </c>
      <c r="B245" t="s">
        <v>555</v>
      </c>
      <c r="C245" t="s">
        <v>556</v>
      </c>
      <c r="D245" t="str">
        <f t="shared" si="3"/>
        <v>UNK - Kosovo - státy EU neuznávaný</v>
      </c>
    </row>
    <row r="246" spans="1:4" x14ac:dyDescent="0.2">
      <c r="A246">
        <v>259</v>
      </c>
      <c r="B246" t="s">
        <v>248</v>
      </c>
      <c r="C246" t="s">
        <v>492</v>
      </c>
      <c r="D246" t="str">
        <f t="shared" si="3"/>
        <v>UNO - Organizace spojených národů</v>
      </c>
    </row>
    <row r="247" spans="1:4" x14ac:dyDescent="0.2">
      <c r="A247">
        <v>232</v>
      </c>
      <c r="B247" t="s">
        <v>162</v>
      </c>
      <c r="C247" t="s">
        <v>466</v>
      </c>
      <c r="D247" t="str">
        <f t="shared" si="3"/>
        <v>URY - Uruguay</v>
      </c>
    </row>
    <row r="248" spans="1:4" x14ac:dyDescent="0.2">
      <c r="A248">
        <v>190</v>
      </c>
      <c r="B248" t="s">
        <v>130</v>
      </c>
      <c r="C248" t="s">
        <v>426</v>
      </c>
      <c r="D248" t="str">
        <f t="shared" si="3"/>
        <v>USA - Spojené státy</v>
      </c>
    </row>
    <row r="249" spans="1:4" x14ac:dyDescent="0.2">
      <c r="A249">
        <v>233</v>
      </c>
      <c r="B249" t="s">
        <v>163</v>
      </c>
      <c r="C249" t="s">
        <v>467</v>
      </c>
      <c r="D249" t="str">
        <f t="shared" si="3"/>
        <v>UZB - Uzbekistán</v>
      </c>
    </row>
    <row r="250" spans="1:4" x14ac:dyDescent="0.2">
      <c r="A250">
        <v>208</v>
      </c>
      <c r="B250" t="s">
        <v>144</v>
      </c>
      <c r="C250" t="s">
        <v>443</v>
      </c>
      <c r="D250" t="str">
        <f t="shared" si="3"/>
        <v>VAT - Vatikán (Svatý stolec)</v>
      </c>
    </row>
    <row r="251" spans="1:4" x14ac:dyDescent="0.2">
      <c r="A251">
        <v>210</v>
      </c>
      <c r="B251" t="s">
        <v>145</v>
      </c>
      <c r="C251" t="s">
        <v>445</v>
      </c>
      <c r="D251" t="str">
        <f t="shared" si="3"/>
        <v>VCT - Svatý Vincenc a Grenadiny</v>
      </c>
    </row>
    <row r="252" spans="1:4" x14ac:dyDescent="0.2">
      <c r="A252">
        <v>236</v>
      </c>
      <c r="B252" t="s">
        <v>164</v>
      </c>
      <c r="C252" t="s">
        <v>469</v>
      </c>
      <c r="D252" t="str">
        <f t="shared" si="3"/>
        <v>VEN - Venezuela</v>
      </c>
    </row>
    <row r="253" spans="1:4" x14ac:dyDescent="0.2">
      <c r="A253">
        <v>105</v>
      </c>
      <c r="B253" t="s">
        <v>204</v>
      </c>
      <c r="C253" t="s">
        <v>348</v>
      </c>
      <c r="D253" t="str">
        <f t="shared" si="3"/>
        <v>VGB - Britské Panenské ostrovy</v>
      </c>
    </row>
    <row r="254" spans="1:4" x14ac:dyDescent="0.2">
      <c r="A254">
        <v>5</v>
      </c>
      <c r="B254" t="s">
        <v>172</v>
      </c>
      <c r="C254" t="s">
        <v>259</v>
      </c>
      <c r="D254" t="str">
        <f t="shared" si="3"/>
        <v>VIR - Americké Panenské ostrovy</v>
      </c>
    </row>
    <row r="255" spans="1:4" x14ac:dyDescent="0.2">
      <c r="A255">
        <v>237</v>
      </c>
      <c r="B255" t="s">
        <v>165</v>
      </c>
      <c r="C255" t="s">
        <v>470</v>
      </c>
      <c r="D255" t="str">
        <f t="shared" si="3"/>
        <v>VNM - Vietnam</v>
      </c>
    </row>
    <row r="256" spans="1:4" x14ac:dyDescent="0.2">
      <c r="A256">
        <v>235</v>
      </c>
      <c r="B256" t="s">
        <v>233</v>
      </c>
      <c r="C256" t="s">
        <v>468</v>
      </c>
      <c r="D256" t="str">
        <f t="shared" si="3"/>
        <v>VUT - Vanuatu</v>
      </c>
    </row>
    <row r="257" spans="1:4" x14ac:dyDescent="0.2">
      <c r="A257">
        <v>239</v>
      </c>
      <c r="B257" t="s">
        <v>234</v>
      </c>
      <c r="C257" t="s">
        <v>472</v>
      </c>
      <c r="D257" t="str">
        <f t="shared" si="3"/>
        <v>WLF - Wallis a Futuna</v>
      </c>
    </row>
    <row r="258" spans="1:4" x14ac:dyDescent="0.2">
      <c r="A258">
        <v>180</v>
      </c>
      <c r="B258" t="s">
        <v>121</v>
      </c>
      <c r="C258" t="s">
        <v>416</v>
      </c>
      <c r="D258" t="str">
        <f t="shared" ref="D258:D272" si="4">CONCATENATE(B258, " - ",C258)</f>
        <v>WSM - Samoa</v>
      </c>
    </row>
    <row r="259" spans="1:4" x14ac:dyDescent="0.2">
      <c r="A259">
        <v>250</v>
      </c>
      <c r="B259" t="s">
        <v>242</v>
      </c>
      <c r="C259" t="s">
        <v>480</v>
      </c>
      <c r="D259" t="str">
        <f t="shared" si="4"/>
        <v>XEU - Evropská unie</v>
      </c>
    </row>
    <row r="260" spans="1:4" x14ac:dyDescent="0.2">
      <c r="A260">
        <v>251</v>
      </c>
      <c r="B260" t="s">
        <v>169</v>
      </c>
      <c r="C260" t="s">
        <v>481</v>
      </c>
      <c r="D260" t="str">
        <f t="shared" si="4"/>
        <v>XGG - Guernsey</v>
      </c>
    </row>
    <row r="261" spans="1:4" x14ac:dyDescent="0.2">
      <c r="A261">
        <v>252</v>
      </c>
      <c r="B261" t="s">
        <v>170</v>
      </c>
      <c r="C261" t="s">
        <v>482</v>
      </c>
      <c r="D261" t="str">
        <f t="shared" si="4"/>
        <v>XJE - Jersey</v>
      </c>
    </row>
    <row r="262" spans="1:4" x14ac:dyDescent="0.2">
      <c r="A262">
        <v>283</v>
      </c>
      <c r="B262" t="s">
        <v>557</v>
      </c>
      <c r="C262" t="s">
        <v>599</v>
      </c>
      <c r="D262" t="str">
        <f t="shared" si="4"/>
        <v>XKO - Kosovo - archiv (do 11.2.2015)</v>
      </c>
    </row>
    <row r="263" spans="1:4" x14ac:dyDescent="0.2">
      <c r="A263">
        <v>253</v>
      </c>
      <c r="B263" t="s">
        <v>243</v>
      </c>
      <c r="C263" t="s">
        <v>501</v>
      </c>
      <c r="D263" t="str">
        <f t="shared" si="4"/>
        <v>XMR - Svrchovaný řád maltézských rytířů</v>
      </c>
    </row>
    <row r="264" spans="1:4" x14ac:dyDescent="0.2">
      <c r="A264">
        <v>260</v>
      </c>
      <c r="B264" t="s">
        <v>249</v>
      </c>
      <c r="C264" t="s">
        <v>502</v>
      </c>
      <c r="D264" t="str">
        <f t="shared" si="4"/>
        <v>XXA - osoba bez státní příslušnosti</v>
      </c>
    </row>
    <row r="265" spans="1:4" x14ac:dyDescent="0.2">
      <c r="A265">
        <v>98</v>
      </c>
      <c r="B265" t="s">
        <v>202</v>
      </c>
      <c r="C265" t="s">
        <v>342</v>
      </c>
      <c r="D265" t="str">
        <f t="shared" si="4"/>
        <v>XXB - uprchlík dle konvence  1951</v>
      </c>
    </row>
    <row r="266" spans="1:4" x14ac:dyDescent="0.2">
      <c r="A266">
        <v>261</v>
      </c>
      <c r="B266" t="s">
        <v>250</v>
      </c>
      <c r="C266" t="s">
        <v>487</v>
      </c>
      <c r="D266" t="str">
        <f t="shared" si="4"/>
        <v>XXC - uprchlík ostatní</v>
      </c>
    </row>
    <row r="267" spans="1:4" x14ac:dyDescent="0.2">
      <c r="A267">
        <v>277</v>
      </c>
      <c r="B267" t="s">
        <v>554</v>
      </c>
      <c r="C267" t="s">
        <v>558</v>
      </c>
      <c r="D267" t="str">
        <f t="shared" si="4"/>
        <v>XXK - Kosovo</v>
      </c>
    </row>
    <row r="268" spans="1:4" x14ac:dyDescent="0.2">
      <c r="A268">
        <v>272</v>
      </c>
      <c r="B268" t="s">
        <v>545</v>
      </c>
      <c r="C268" t="s">
        <v>490</v>
      </c>
      <c r="D268" t="str">
        <f t="shared" si="4"/>
        <v>XXX - neuvedený stát</v>
      </c>
    </row>
    <row r="269" spans="1:4" x14ac:dyDescent="0.2">
      <c r="A269">
        <v>78</v>
      </c>
      <c r="B269" t="s">
        <v>52</v>
      </c>
      <c r="C269" t="s">
        <v>325</v>
      </c>
      <c r="D269" t="str">
        <f t="shared" si="4"/>
        <v>YEM - Jemen</v>
      </c>
    </row>
    <row r="270" spans="1:4" x14ac:dyDescent="0.2">
      <c r="A270">
        <v>79</v>
      </c>
      <c r="B270" t="s">
        <v>53</v>
      </c>
      <c r="C270" t="s">
        <v>326</v>
      </c>
      <c r="D270" t="str">
        <f t="shared" si="4"/>
        <v>ZAF - Jihoafrická republika</v>
      </c>
    </row>
    <row r="271" spans="1:4" x14ac:dyDescent="0.2">
      <c r="A271">
        <v>240</v>
      </c>
      <c r="B271" t="s">
        <v>166</v>
      </c>
      <c r="C271" t="s">
        <v>473</v>
      </c>
      <c r="D271" t="str">
        <f t="shared" si="4"/>
        <v>ZMB - Zambie</v>
      </c>
    </row>
    <row r="272" spans="1:4" x14ac:dyDescent="0.2">
      <c r="A272">
        <v>241</v>
      </c>
      <c r="B272" t="s">
        <v>167</v>
      </c>
      <c r="C272" t="s">
        <v>474</v>
      </c>
      <c r="D272" t="str">
        <f t="shared" si="4"/>
        <v>ZWE - Zimbabwe</v>
      </c>
    </row>
  </sheetData>
  <sheetProtection sheet="1"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5EB60-B2FA-47C3-950A-B5E285C97FC1}">
  <sheetPr codeName="Sheet1"/>
  <dimension ref="A1:C15"/>
  <sheetViews>
    <sheetView workbookViewId="0">
      <selection activeCell="B9" sqref="B9"/>
    </sheetView>
  </sheetViews>
  <sheetFormatPr defaultRowHeight="12.75" x14ac:dyDescent="0.2"/>
  <cols>
    <col min="1" max="1" width="3" bestFit="1" customWidth="1"/>
    <col min="2" max="2" width="32.85546875" bestFit="1" customWidth="1"/>
    <col min="3" max="3" width="36.7109375" hidden="1" customWidth="1"/>
  </cols>
  <sheetData>
    <row r="1" spans="1:3" x14ac:dyDescent="0.2">
      <c r="A1" t="s">
        <v>572</v>
      </c>
      <c r="B1" t="s">
        <v>573</v>
      </c>
      <c r="C1" t="str">
        <f t="shared" ref="C1:C15" si="0">CONCATENATE(A1, " - ",B1)</f>
        <v>00 - ZDRAVOTNÍ</v>
      </c>
    </row>
    <row r="2" spans="1:3" x14ac:dyDescent="0.2">
      <c r="A2" t="s">
        <v>574</v>
      </c>
      <c r="B2" t="s">
        <v>575</v>
      </c>
      <c r="C2" t="str">
        <f t="shared" si="0"/>
        <v>01 - OBCHODNÍ</v>
      </c>
    </row>
    <row r="3" spans="1:3" x14ac:dyDescent="0.2">
      <c r="A3" t="s">
        <v>576</v>
      </c>
      <c r="B3" t="s">
        <v>577</v>
      </c>
      <c r="C3" t="str">
        <f t="shared" si="0"/>
        <v>02 - KULTURNÍ</v>
      </c>
    </row>
    <row r="4" spans="1:3" x14ac:dyDescent="0.2">
      <c r="A4" t="s">
        <v>578</v>
      </c>
      <c r="B4" t="s">
        <v>579</v>
      </c>
      <c r="C4" t="str">
        <f t="shared" si="0"/>
        <v>03 - NÁVŠTĚVA RODINY NEBO PŘÁTEL</v>
      </c>
    </row>
    <row r="5" spans="1:3" x14ac:dyDescent="0.2">
      <c r="A5" t="s">
        <v>580</v>
      </c>
      <c r="B5" t="s">
        <v>581</v>
      </c>
      <c r="C5" t="str">
        <f t="shared" si="0"/>
        <v>04 - POZVÁNÍ</v>
      </c>
    </row>
    <row r="6" spans="1:3" x14ac:dyDescent="0.2">
      <c r="A6" t="s">
        <v>582</v>
      </c>
      <c r="B6" t="s">
        <v>583</v>
      </c>
      <c r="C6" t="str">
        <f t="shared" si="0"/>
        <v>05 - OFICIÁLNÍ (POLITICKÝ)</v>
      </c>
    </row>
    <row r="7" spans="1:3" x14ac:dyDescent="0.2">
      <c r="A7" t="s">
        <v>584</v>
      </c>
      <c r="B7" t="s">
        <v>600</v>
      </c>
      <c r="C7" t="str">
        <f t="shared" si="0"/>
        <v>06 - PODNIKÁNÍ - OSVČ</v>
      </c>
    </row>
    <row r="8" spans="1:3" x14ac:dyDescent="0.2">
      <c r="A8" t="s">
        <v>585</v>
      </c>
      <c r="B8" t="s">
        <v>586</v>
      </c>
      <c r="C8" t="str">
        <f t="shared" si="0"/>
        <v>07 - SPORTOVNÍ</v>
      </c>
    </row>
    <row r="9" spans="1:3" x14ac:dyDescent="0.2">
      <c r="A9" t="s">
        <v>587</v>
      </c>
      <c r="B9" t="s">
        <v>588</v>
      </c>
      <c r="C9" t="str">
        <f t="shared" si="0"/>
        <v>10 - TURISTIKA</v>
      </c>
    </row>
    <row r="10" spans="1:3" x14ac:dyDescent="0.2">
      <c r="A10" t="s">
        <v>589</v>
      </c>
      <c r="B10" t="s">
        <v>590</v>
      </c>
      <c r="C10" t="str">
        <f t="shared" si="0"/>
        <v>11 - STUDIUM (ŠKOLENÍ, STÁŽ)</v>
      </c>
    </row>
    <row r="11" spans="1:3" x14ac:dyDescent="0.2">
      <c r="A11" t="s">
        <v>591</v>
      </c>
      <c r="B11" t="s">
        <v>598</v>
      </c>
      <c r="C11" t="str">
        <f t="shared" si="0"/>
        <v>12 - TRANZIT (průjezd)</v>
      </c>
    </row>
    <row r="12" spans="1:3" x14ac:dyDescent="0.2">
      <c r="A12" t="s">
        <v>592</v>
      </c>
      <c r="B12" t="s">
        <v>601</v>
      </c>
      <c r="C12" t="str">
        <f t="shared" si="0"/>
        <v>13 - LETIŠTNÍ TRANZIT (letištní průjezd)</v>
      </c>
    </row>
    <row r="13" spans="1:3" x14ac:dyDescent="0.2">
      <c r="A13" t="s">
        <v>593</v>
      </c>
      <c r="B13" t="s">
        <v>594</v>
      </c>
      <c r="C13" t="str">
        <f t="shared" si="0"/>
        <v>27 - ZAMĚSTNÁNÍ</v>
      </c>
    </row>
    <row r="14" spans="1:3" x14ac:dyDescent="0.2">
      <c r="A14" s="39">
        <v>93</v>
      </c>
      <c r="B14" t="s">
        <v>602</v>
      </c>
      <c r="C14" t="str">
        <f t="shared" si="0"/>
        <v>93 - Tzv. ADS vízum udělované občanu Číny</v>
      </c>
    </row>
    <row r="15" spans="1:3" x14ac:dyDescent="0.2">
      <c r="A15" t="s">
        <v>595</v>
      </c>
      <c r="B15" t="s">
        <v>596</v>
      </c>
      <c r="C15" t="str">
        <f t="shared" si="0"/>
        <v>99 - OSTATNÍ / JINÉ</v>
      </c>
    </row>
  </sheetData>
  <sheetProtection sheet="1" objects="1" scenarios="1"/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</vt:i4>
      </vt:variant>
      <vt:variant>
        <vt:lpstr>Pojmenované oblasti</vt:lpstr>
      </vt:variant>
      <vt:variant>
        <vt:i4>19</vt:i4>
      </vt:variant>
    </vt:vector>
  </HeadingPairs>
  <TitlesOfParts>
    <vt:vector size="23" baseType="lpstr">
      <vt:lpstr>Ubytovatel</vt:lpstr>
      <vt:lpstr>Seznam</vt:lpstr>
      <vt:lpstr>STP</vt:lpstr>
      <vt:lpstr>UcelPobytu</vt:lpstr>
      <vt:lpstr>cd</vt:lpstr>
      <vt:lpstr>cob</vt:lpstr>
      <vt:lpstr>cor</vt:lpstr>
      <vt:lpstr>crtime</vt:lpstr>
      <vt:lpstr>crtimecopy</vt:lpstr>
      <vt:lpstr>dfltpath</vt:lpstr>
      <vt:lpstr>dfltpathi</vt:lpstr>
      <vt:lpstr>idub</vt:lpstr>
      <vt:lpstr>ifname</vt:lpstr>
      <vt:lpstr>ifnamecopy</vt:lpstr>
      <vt:lpstr>kontakt</vt:lpstr>
      <vt:lpstr>ob</vt:lpstr>
      <vt:lpstr>obdobi_do</vt:lpstr>
      <vt:lpstr>obdobi_od</vt:lpstr>
      <vt:lpstr>okr</vt:lpstr>
      <vt:lpstr>psc</vt:lpstr>
      <vt:lpstr>uby</vt:lpstr>
      <vt:lpstr>uli</vt:lpstr>
      <vt:lpstr>zkratka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UBYTOVANI - verze 19</dc:title>
  <dc:creator>HAL</dc:creator>
  <dc:description>Podpora short date format ve Win8</dc:description>
  <cp:lastModifiedBy>HI, Recepce 6</cp:lastModifiedBy>
  <cp:lastPrinted>2024-06-30T18:47:21Z</cp:lastPrinted>
  <dcterms:created xsi:type="dcterms:W3CDTF">1997-01-24T11:07:25Z</dcterms:created>
  <dcterms:modified xsi:type="dcterms:W3CDTF">2025-07-30T06:27:01Z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62691439</vt:i4>
  </property>
  <property fmtid="{D5CDD505-2E9C-101B-9397-08002B2CF9AE}" pid="3" name="_NewReviewCycle">
    <vt:lpwstr/>
  </property>
  <property fmtid="{D5CDD505-2E9C-101B-9397-08002B2CF9AE}" pid="4" name="_EmailSubject">
    <vt:lpwstr>Denisa</vt:lpwstr>
  </property>
  <property fmtid="{D5CDD505-2E9C-101B-9397-08002B2CF9AE}" pid="5" name="_AuthorEmail">
    <vt:lpwstr>martin.dolezal@holidayinn.cz</vt:lpwstr>
  </property>
  <property fmtid="{D5CDD505-2E9C-101B-9397-08002B2CF9AE}" pid="6" name="_AuthorEmailDisplayName">
    <vt:lpwstr>Martin Doležal</vt:lpwstr>
  </property>
  <property fmtid="{D5CDD505-2E9C-101B-9397-08002B2CF9AE}" pid="7" name="_ReviewingToolsShownOnce">
    <vt:lpwstr/>
  </property>
</Properties>
</file>