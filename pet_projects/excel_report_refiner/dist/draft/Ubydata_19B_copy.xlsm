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Ubytovatel" sheetId="1" state="visible" r:id="rId4"/>
    <sheet name="Seznam" sheetId="2" state="visible" r:id="rId5"/>
    <sheet name="STP" sheetId="3" state="visible" r:id="rId6"/>
    <sheet name="UcelPobytu" sheetId="4" state="visible" r:id="rId7"/>
  </sheets>
  <definedNames>
    <definedName function="false" hidden="true" localSheetId="1" name="_xlnm._FilterDatabase" vbProcedure="false">Seznam!$A$1:$P$1</definedName>
    <definedName function="false" hidden="false" name="cd" vbProcedure="false">Ubytovatel!$D$20</definedName>
    <definedName function="false" hidden="false" name="cob" vbProcedure="false">Ubytovatel!$D$16</definedName>
    <definedName function="false" hidden="false" name="cor" vbProcedure="false">Ubytovatel!$D$22</definedName>
    <definedName function="false" hidden="false" name="crtime" vbProcedure="false">Ubytovatel!$B$44</definedName>
    <definedName function="false" hidden="false" name="crtimecopy" vbProcedure="false">Ubytovatel!$D$32</definedName>
    <definedName function="false" hidden="false" name="dfltpath" vbProcedure="false">Ubytovatel!$B$41</definedName>
    <definedName function="false" hidden="false" name="dfltpathi" vbProcedure="false">Ubytovatel!$B$42</definedName>
    <definedName function="false" hidden="false" name="idub" vbProcedure="false">Ubytovatel!$D$4</definedName>
    <definedName function="false" hidden="false" name="ifname" vbProcedure="false">Ubytovatel!$B$43</definedName>
    <definedName function="false" hidden="false" name="ifnamecopy" vbProcedure="false">Ubytovatel!$D$30</definedName>
    <definedName function="false" hidden="false" name="kontakt" vbProcedure="false">Ubytovatel!$D$10</definedName>
    <definedName function="false" hidden="false" name="ob" vbProcedure="false">Ubytovatel!$D$14</definedName>
    <definedName function="false" hidden="false" name="obdobi_do" vbProcedure="false">Ubytovatel!$D$28</definedName>
    <definedName function="false" hidden="false" name="obdobi_od" vbProcedure="false">Ubytovatel!$D$26</definedName>
    <definedName function="false" hidden="false" name="okr" vbProcedure="false">Ubytovatel!$D$12</definedName>
    <definedName function="false" hidden="false" name="psc" vbProcedure="false">Ubytovatel!$D$24</definedName>
    <definedName function="false" hidden="false" name="uby" vbProcedure="false">Ubytovatel!$D$8</definedName>
    <definedName function="false" hidden="false" name="uli" vbProcedure="false">Ubytovatel!$D$18</definedName>
    <definedName function="false" hidden="false" name="zkratka" vbProcedure="false">Ubytovatel!$D$6</definedName>
    <definedName function="false" hidden="false" name="_xlfn_SINGLE" vbProcedure="fals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<sst xmlns="http://schemas.openxmlformats.org/spreadsheetml/2006/main" count="1461" uniqueCount="1072">
  <si>
    <r>
      <rPr>
        <b val="true"/>
        <sz val="12"/>
        <rFont val="Arial"/>
        <family val="2"/>
        <charset val="238"/>
      </rPr>
      <t xml:space="preserve">CIS</t>
    </r>
    <r>
      <rPr>
        <b val="true"/>
        <sz val="12"/>
        <rFont val="Arial"/>
        <family val="2"/>
      </rPr>
      <t xml:space="preserve"> – SEZNAM UBYTOVANÝCH                          </t>
    </r>
    <r>
      <rPr>
        <sz val="12"/>
        <rFont val="Arial"/>
        <family val="2"/>
        <charset val="238"/>
      </rPr>
      <t xml:space="preserve"> (verze SDF)</t>
    </r>
  </si>
  <si>
    <t xml:space="preserve">IDUB:</t>
  </si>
  <si>
    <t xml:space="preserve">(Vám přidělená) zkratka:</t>
  </si>
  <si>
    <t xml:space="preserve">FMILV</t>
  </si>
  <si>
    <t xml:space="preserve">název ubytovatele:</t>
  </si>
  <si>
    <t xml:space="preserve">Holiday Inn Prague Congress Centre</t>
  </si>
  <si>
    <t xml:space="preserve">kontakt:</t>
  </si>
  <si>
    <t xml:space="preserve">Marcela Neradova 296895055</t>
  </si>
  <si>
    <t xml:space="preserve">okres:</t>
  </si>
  <si>
    <t xml:space="preserve">Praha</t>
  </si>
  <si>
    <t xml:space="preserve">obec:</t>
  </si>
  <si>
    <t xml:space="preserve">část obce:</t>
  </si>
  <si>
    <t xml:space="preserve">Praha 4</t>
  </si>
  <si>
    <t xml:space="preserve">ulice:</t>
  </si>
  <si>
    <t xml:space="preserve">5.kvetna</t>
  </si>
  <si>
    <t xml:space="preserve">domovní číslo:</t>
  </si>
  <si>
    <t xml:space="preserve">orientační číslo:</t>
  </si>
  <si>
    <t xml:space="preserve">PSČ:</t>
  </si>
  <si>
    <t xml:space="preserve">období od:</t>
  </si>
  <si>
    <t xml:space="preserve">období do:</t>
  </si>
  <si>
    <t xml:space="preserve">importovaný soubor:</t>
  </si>
  <si>
    <t xml:space="preserve">datum vytvoření:</t>
  </si>
  <si>
    <t xml:space="preserve">C:\Users\recepce.6\OneDrive - Prague Congress Centre\Plocha\Cizinec. Policie\ubydata export\</t>
  </si>
  <si>
    <t xml:space="preserve">O:\130-recepce\recepce\Opera export\</t>
  </si>
  <si>
    <t xml:space="preserve">O:\130-recepce\recepce\Opera export\prgnp_police_export_new78922008.unl</t>
  </si>
  <si>
    <t xml:space="preserve">2025.06.21 01:47:43</t>
  </si>
  <si>
    <t xml:space="preserve">K</t>
  </si>
  <si>
    <t xml:space="preserve">pobyt od</t>
  </si>
  <si>
    <t xml:space="preserve">pobyt do</t>
  </si>
  <si>
    <t xml:space="preserve">příjmení</t>
  </si>
  <si>
    <t xml:space="preserve">jméno</t>
  </si>
  <si>
    <t xml:space="preserve">rodné jméno</t>
  </si>
  <si>
    <t xml:space="preserve">datum narození</t>
  </si>
  <si>
    <t xml:space="preserve">místo narození</t>
  </si>
  <si>
    <t xml:space="preserve">stát narození</t>
  </si>
  <si>
    <t xml:space="preserve">státní občanství</t>
  </si>
  <si>
    <t xml:space="preserve">,</t>
  </si>
  <si>
    <t xml:space="preserve">číslo cestovního dokladu</t>
  </si>
  <si>
    <t xml:space="preserve">číslo víza</t>
  </si>
  <si>
    <t xml:space="preserve">SPZ</t>
  </si>
  <si>
    <t xml:space="preserve">poznámka</t>
  </si>
  <si>
    <t xml:space="preserve">20.06.2025</t>
  </si>
  <si>
    <t xml:space="preserve">21.06.2025</t>
  </si>
  <si>
    <t xml:space="preserve">Shved</t>
  </si>
  <si>
    <t xml:space="preserve">Yuriy</t>
  </si>
  <si>
    <t xml:space="preserve">02.01.1964</t>
  </si>
  <si>
    <t xml:space="preserve">UKR</t>
  </si>
  <si>
    <t xml:space="preserve">CZ, U Tescomy 206, 76005, Zlin</t>
  </si>
  <si>
    <t xml:space="preserve">PU020490</t>
  </si>
  <si>
    <t xml:space="preserve">Vavro</t>
  </si>
  <si>
    <t xml:space="preserve">Dusan</t>
  </si>
  <si>
    <t xml:space="preserve">02.10.1972</t>
  </si>
  <si>
    <t xml:space="preserve">CHE</t>
  </si>
  <si>
    <t xml:space="preserve">CZ, 16100, Brno</t>
  </si>
  <si>
    <t xml:space="preserve">HU617337</t>
  </si>
  <si>
    <t xml:space="preserve">Szatkiewicz</t>
  </si>
  <si>
    <t xml:space="preserve">Honorata</t>
  </si>
  <si>
    <t xml:space="preserve">19.05.1990</t>
  </si>
  <si>
    <t xml:space="preserve">POL</t>
  </si>
  <si>
    <t xml:space="preserve">PL, Korkowa 135 137 M.166, 04-549, Warszawa</t>
  </si>
  <si>
    <t xml:space="preserve">CCU 45424</t>
  </si>
  <si>
    <t xml:space="preserve">27.06.2025</t>
  </si>
  <si>
    <t xml:space="preserve">Leclaire</t>
  </si>
  <si>
    <t xml:space="preserve">Leslie</t>
  </si>
  <si>
    <t xml:space="preserve">05.01.1984</t>
  </si>
  <si>
    <t xml:space="preserve">USA</t>
  </si>
  <si>
    <t xml:space="preserve">US, 635 Lilycrest Drive, 37066, Gallatin</t>
  </si>
  <si>
    <t xml:space="preserve">A63540084</t>
  </si>
  <si>
    <t xml:space="preserve">26.06.2025</t>
  </si>
  <si>
    <t xml:space="preserve">Halama</t>
  </si>
  <si>
    <t xml:space="preserve">Anna</t>
  </si>
  <si>
    <t xml:space="preserve">19.09.1984</t>
  </si>
  <si>
    <t xml:space="preserve">QA, Education City, 24144, Doha</t>
  </si>
  <si>
    <t xml:space="preserve">ET9887977</t>
  </si>
  <si>
    <t xml:space="preserve">Goodacre</t>
  </si>
  <si>
    <t xml:space="preserve">Royston</t>
  </si>
  <si>
    <t xml:space="preserve">17.07.1967</t>
  </si>
  <si>
    <t xml:space="preserve">GBR</t>
  </si>
  <si>
    <t xml:space="preserve">562404402</t>
  </si>
  <si>
    <t xml:space="preserve">De Ridder</t>
  </si>
  <si>
    <t xml:space="preserve">Rens</t>
  </si>
  <si>
    <t xml:space="preserve">22.12.2001</t>
  </si>
  <si>
    <t xml:space="preserve">NLD</t>
  </si>
  <si>
    <t xml:space="preserve">NL, Markenhaven, 3826AC, Amersfoort</t>
  </si>
  <si>
    <t xml:space="preserve">NN99647L6</t>
  </si>
  <si>
    <t xml:space="preserve">Zhdanovych</t>
  </si>
  <si>
    <t xml:space="preserve">Yuliya</t>
  </si>
  <si>
    <t xml:space="preserve">25.11.1983</t>
  </si>
  <si>
    <t xml:space="preserve">US, 1703 Whitehall Dr Apt 201, 33324-6908, Davie</t>
  </si>
  <si>
    <t xml:space="preserve">649343142</t>
  </si>
  <si>
    <t xml:space="preserve">25.06.2025</t>
  </si>
  <si>
    <t xml:space="preserve">Goveya</t>
  </si>
  <si>
    <t xml:space="preserve">Werner</t>
  </si>
  <si>
    <t xml:space="preserve">27.01.1971</t>
  </si>
  <si>
    <t xml:space="preserve">US, Po Box 568, 94002-0568, Belmont</t>
  </si>
  <si>
    <t xml:space="preserve">596744820</t>
  </si>
  <si>
    <t xml:space="preserve">Baker</t>
  </si>
  <si>
    <t xml:space="preserve">Jonathan</t>
  </si>
  <si>
    <t xml:space="preserve">27.01.1979</t>
  </si>
  <si>
    <t xml:space="preserve">US, 384 Colonial Ridge Dr, 27312, Pittsboro</t>
  </si>
  <si>
    <t xml:space="preserve">596203512</t>
  </si>
  <si>
    <t xml:space="preserve">Capellan</t>
  </si>
  <si>
    <t xml:space="preserve">Ramon</t>
  </si>
  <si>
    <t xml:space="preserve">13.12.1995</t>
  </si>
  <si>
    <t xml:space="preserve">US, 67 Rosewood Dr, 07735, Keyport</t>
  </si>
  <si>
    <t xml:space="preserve">543075536</t>
  </si>
  <si>
    <t xml:space="preserve">23.06.2025</t>
  </si>
  <si>
    <t xml:space="preserve">Latifi</t>
  </si>
  <si>
    <t xml:space="preserve">Ali</t>
  </si>
  <si>
    <t xml:space="preserve">03.12.1982</t>
  </si>
  <si>
    <t xml:space="preserve">US, 9305 Elberon Way, 95758, Elk Grove</t>
  </si>
  <si>
    <t xml:space="preserve">548593623</t>
  </si>
  <si>
    <t xml:space="preserve">Bornhorst</t>
  </si>
  <si>
    <t xml:space="preserve">Amy</t>
  </si>
  <si>
    <t xml:space="preserve">21.04.1973</t>
  </si>
  <si>
    <t xml:space="preserve">DEU</t>
  </si>
  <si>
    <t xml:space="preserve">US, 1712 Pomme De Terre Rd, 65616-9495, Branson</t>
  </si>
  <si>
    <t xml:space="preserve">C4FZ81336</t>
  </si>
  <si>
    <t xml:space="preserve">Fahy</t>
  </si>
  <si>
    <t xml:space="preserve">Eoin</t>
  </si>
  <si>
    <t xml:space="preserve">20.06.1959</t>
  </si>
  <si>
    <t xml:space="preserve">US, 3478 Camino Cereza, 92009, Carlsbad</t>
  </si>
  <si>
    <t xml:space="preserve">661629548</t>
  </si>
  <si>
    <t xml:space="preserve">Eberlin</t>
  </si>
  <si>
    <t xml:space="preserve">Livia</t>
  </si>
  <si>
    <t xml:space="preserve">19.02.1986</t>
  </si>
  <si>
    <t xml:space="preserve">651695617</t>
  </si>
  <si>
    <t xml:space="preserve">10</t>
  </si>
  <si>
    <t xml:space="preserve">Erin</t>
  </si>
  <si>
    <t xml:space="preserve">25.10.1978</t>
  </si>
  <si>
    <t xml:space="preserve">A61428529</t>
  </si>
  <si>
    <t xml:space="preserve">Franco Maggi Tavares</t>
  </si>
  <si>
    <t xml:space="preserve">Marina</t>
  </si>
  <si>
    <t xml:space="preserve">10.10.1959</t>
  </si>
  <si>
    <t xml:space="preserve">BRA</t>
  </si>
  <si>
    <t xml:space="preserve">BR, Al.Das Caviunas 337, 06519-370, Santana-De-Parnaiba</t>
  </si>
  <si>
    <t xml:space="preserve">FV925160</t>
  </si>
  <si>
    <t xml:space="preserve">Rupasinghe</t>
  </si>
  <si>
    <t xml:space="preserve">Thusitha Wasantha Thilaka</t>
  </si>
  <si>
    <t xml:space="preserve">28.09.1965</t>
  </si>
  <si>
    <t xml:space="preserve">AUS</t>
  </si>
  <si>
    <t xml:space="preserve">AU, ., Melbourne</t>
  </si>
  <si>
    <t xml:space="preserve">PA5105070</t>
  </si>
  <si>
    <t xml:space="preserve">Vinzarajs</t>
  </si>
  <si>
    <t xml:space="preserve">Rihards</t>
  </si>
  <si>
    <t xml:space="preserve">18.11.1987</t>
  </si>
  <si>
    <t xml:space="preserve">LVA</t>
  </si>
  <si>
    <t xml:space="preserve">NL, Saenredamstraat 4a, 2021ZR, Haarlem</t>
  </si>
  <si>
    <t xml:space="preserve">PA3468791</t>
  </si>
  <si>
    <t xml:space="preserve">Nehls</t>
  </si>
  <si>
    <t xml:space="preserve">Kathleen Stipek</t>
  </si>
  <si>
    <t xml:space="preserve">15.01.1968</t>
  </si>
  <si>
    <t xml:space="preserve">US</t>
  </si>
  <si>
    <t xml:space="preserve">552818188</t>
  </si>
  <si>
    <t xml:space="preserve">Manis</t>
  </si>
  <si>
    <t xml:space="preserve">Ashley Megan</t>
  </si>
  <si>
    <t xml:space="preserve">24.04.1992</t>
  </si>
  <si>
    <t xml:space="preserve">US, Str, 02467, Boston</t>
  </si>
  <si>
    <t xml:space="preserve">594143297</t>
  </si>
  <si>
    <t xml:space="preserve">Horvath</t>
  </si>
  <si>
    <t xml:space="preserve">Gabor Istvanne</t>
  </si>
  <si>
    <t xml:space="preserve">20.09.1987</t>
  </si>
  <si>
    <t xml:space="preserve">HUN</t>
  </si>
  <si>
    <t xml:space="preserve">HU, Str, Budapest</t>
  </si>
  <si>
    <t xml:space="preserve">022510HE</t>
  </si>
  <si>
    <t xml:space="preserve">Garaczi</t>
  </si>
  <si>
    <t xml:space="preserve">Janos Teofil</t>
  </si>
  <si>
    <t xml:space="preserve">25.12.1974</t>
  </si>
  <si>
    <t xml:space="preserve">HU, Budapest</t>
  </si>
  <si>
    <t xml:space="preserve">720100RE</t>
  </si>
  <si>
    <t xml:space="preserve">Schwab</t>
  </si>
  <si>
    <t xml:space="preserve">Patrick Philip</t>
  </si>
  <si>
    <t xml:space="preserve">08.03.2005</t>
  </si>
  <si>
    <t xml:space="preserve">DE</t>
  </si>
  <si>
    <t xml:space="preserve">L5NH75K6L</t>
  </si>
  <si>
    <t xml:space="preserve">Baji</t>
  </si>
  <si>
    <t xml:space="preserve">Gabor</t>
  </si>
  <si>
    <t xml:space="preserve">04.06.1981</t>
  </si>
  <si>
    <t xml:space="preserve">HU, Mercedes Benz Manufacturing Hungary, 6000, Kecskemet</t>
  </si>
  <si>
    <t xml:space="preserve">231086RE</t>
  </si>
  <si>
    <t xml:space="preserve">Balogh</t>
  </si>
  <si>
    <t xml:space="preserve">Szabolcs</t>
  </si>
  <si>
    <t xml:space="preserve">27.03.1982</t>
  </si>
  <si>
    <t xml:space="preserve">HU, Mercedes Benz Manufacturing Hungary Kft., 6000, Kecskemet</t>
  </si>
  <si>
    <t xml:space="preserve">565715ME</t>
  </si>
  <si>
    <t xml:space="preserve">Dunn</t>
  </si>
  <si>
    <t xml:space="preserve">Warwick Brian</t>
  </si>
  <si>
    <t xml:space="preserve">26.03.1972</t>
  </si>
  <si>
    <t xml:space="preserve">GB</t>
  </si>
  <si>
    <t xml:space="preserve">534213619</t>
  </si>
  <si>
    <t xml:space="preserve">Winder</t>
  </si>
  <si>
    <t xml:space="preserve">Catherine Louise</t>
  </si>
  <si>
    <t xml:space="preserve">10.01.1974</t>
  </si>
  <si>
    <t xml:space="preserve">GB, str, Liverpool</t>
  </si>
  <si>
    <t xml:space="preserve">141703959</t>
  </si>
  <si>
    <t xml:space="preserve">Maiorano</t>
  </si>
  <si>
    <t xml:space="preserve">Angela Marie</t>
  </si>
  <si>
    <t xml:space="preserve">08.10.1980</t>
  </si>
  <si>
    <t xml:space="preserve">A58249259</t>
  </si>
  <si>
    <t xml:space="preserve">Jones</t>
  </si>
  <si>
    <t xml:space="preserve">Melodee</t>
  </si>
  <si>
    <t xml:space="preserve">29.09.1991</t>
  </si>
  <si>
    <t xml:space="preserve">US, 851 State St, 28752, Marion</t>
  </si>
  <si>
    <t xml:space="preserve">2950059153</t>
  </si>
  <si>
    <t xml:space="preserve">Gutmann</t>
  </si>
  <si>
    <t xml:space="preserve">Heidi</t>
  </si>
  <si>
    <t xml:space="preserve">12.12.1950</t>
  </si>
  <si>
    <t xml:space="preserve">AUT</t>
  </si>
  <si>
    <t xml:space="preserve">AT, Wien</t>
  </si>
  <si>
    <t xml:space="preserve">CAVWJNFHF</t>
  </si>
  <si>
    <t xml:space="preserve">Fruhmann</t>
  </si>
  <si>
    <t xml:space="preserve">Angela</t>
  </si>
  <si>
    <t xml:space="preserve">18.12.1949</t>
  </si>
  <si>
    <t xml:space="preserve">U2523211</t>
  </si>
  <si>
    <t xml:space="preserve">Assmann</t>
  </si>
  <si>
    <t xml:space="preserve">Elisabeth</t>
  </si>
  <si>
    <t xml:space="preserve">16.08.1957</t>
  </si>
  <si>
    <t xml:space="preserve">U4758891</t>
  </si>
  <si>
    <t xml:space="preserve">Wuerlinger</t>
  </si>
  <si>
    <t xml:space="preserve">Ulrike</t>
  </si>
  <si>
    <t xml:space="preserve">22.03.1958</t>
  </si>
  <si>
    <t xml:space="preserve">U3503040</t>
  </si>
  <si>
    <t xml:space="preserve">Simbuerger</t>
  </si>
  <si>
    <t xml:space="preserve">Johann</t>
  </si>
  <si>
    <t xml:space="preserve">27.01.1950</t>
  </si>
  <si>
    <t xml:space="preserve">U3659660</t>
  </si>
  <si>
    <t xml:space="preserve">Hermine</t>
  </si>
  <si>
    <t xml:space="preserve">13.11.1953</t>
  </si>
  <si>
    <t xml:space="preserve">U3659661</t>
  </si>
  <si>
    <t xml:space="preserve">Zloebl</t>
  </si>
  <si>
    <t xml:space="preserve">Gertrude</t>
  </si>
  <si>
    <t xml:space="preserve">13.11.1951</t>
  </si>
  <si>
    <t xml:space="preserve">PA2372427</t>
  </si>
  <si>
    <t xml:space="preserve">Leonhard</t>
  </si>
  <si>
    <t xml:space="preserve">12.08.1938</t>
  </si>
  <si>
    <t xml:space="preserve">PA2312248</t>
  </si>
  <si>
    <t xml:space="preserve">Ursula</t>
  </si>
  <si>
    <t xml:space="preserve">11.11.1966</t>
  </si>
  <si>
    <t xml:space="preserve">AP1374515</t>
  </si>
  <si>
    <t xml:space="preserve">Helfried</t>
  </si>
  <si>
    <t xml:space="preserve">23.09.1956</t>
  </si>
  <si>
    <t xml:space="preserve">AP1374714</t>
  </si>
  <si>
    <t xml:space="preserve">Weber</t>
  </si>
  <si>
    <t xml:space="preserve">Ernst</t>
  </si>
  <si>
    <t xml:space="preserve">12.08.1968</t>
  </si>
  <si>
    <t xml:space="preserve">AP0143784</t>
  </si>
  <si>
    <t xml:space="preserve">Renate</t>
  </si>
  <si>
    <t xml:space="preserve">14.01.1969</t>
  </si>
  <si>
    <t xml:space="preserve">U4772109</t>
  </si>
  <si>
    <t xml:space="preserve">Bauer</t>
  </si>
  <si>
    <t xml:space="preserve">Anita</t>
  </si>
  <si>
    <t xml:space="preserve">13.02.1964</t>
  </si>
  <si>
    <t xml:space="preserve">U3138668</t>
  </si>
  <si>
    <t xml:space="preserve">Rajkumar</t>
  </si>
  <si>
    <t xml:space="preserve">Prajit</t>
  </si>
  <si>
    <t xml:space="preserve">09.12.2004</t>
  </si>
  <si>
    <t xml:space="preserve">US, 2335 Sueno Way, 94539, Fremont</t>
  </si>
  <si>
    <t xml:space="preserve">A52647427</t>
  </si>
  <si>
    <t xml:space="preserve">22.06.2025</t>
  </si>
  <si>
    <t xml:space="preserve">Yilmaz</t>
  </si>
  <si>
    <t xml:space="preserve">Mrmehmet</t>
  </si>
  <si>
    <t xml:space="preserve">09.03.1969</t>
  </si>
  <si>
    <t xml:space="preserve">US, 278 Arlington Drive, 48307, Rochester-Hills</t>
  </si>
  <si>
    <t xml:space="preserve">L234ZCK3G</t>
  </si>
  <si>
    <t xml:space="preserve">Rabinovich</t>
  </si>
  <si>
    <t xml:space="preserve">Avraham</t>
  </si>
  <si>
    <t xml:space="preserve">04.12.1954</t>
  </si>
  <si>
    <t xml:space="preserve">ISR</t>
  </si>
  <si>
    <t xml:space="preserve">IL, Efroni 11, 7169418, Modi'In-Maccabim-Re'Ut</t>
  </si>
  <si>
    <t xml:space="preserve">36816753</t>
  </si>
  <si>
    <t xml:space="preserve">24.06.2025</t>
  </si>
  <si>
    <t xml:space="preserve">Ara</t>
  </si>
  <si>
    <t xml:space="preserve">Takeshi</t>
  </si>
  <si>
    <t xml:space="preserve">22.02.1969</t>
  </si>
  <si>
    <t xml:space="preserve">JPN</t>
  </si>
  <si>
    <t xml:space="preserve">JP, Garden Hills Sakuragaoka C-2, 4110801, Mishima</t>
  </si>
  <si>
    <t xml:space="preserve">TM0026788</t>
  </si>
  <si>
    <t xml:space="preserve">Bodhorn</t>
  </si>
  <si>
    <t xml:space="preserve">Markus</t>
  </si>
  <si>
    <t xml:space="preserve">22.04.1972</t>
  </si>
  <si>
    <t xml:space="preserve">DE, Jauerstr. 14, 90473, Nurnberg</t>
  </si>
  <si>
    <t xml:space="preserve">lh0r5mp4r</t>
  </si>
  <si>
    <t xml:space="preserve">Viramontes</t>
  </si>
  <si>
    <t xml:space="preserve">Antonio</t>
  </si>
  <si>
    <t xml:space="preserve">20.12.1970</t>
  </si>
  <si>
    <t xml:space="preserve">MEX</t>
  </si>
  <si>
    <t xml:space="preserve">MX, Vicente Guerrero 255, 50160, Toluca Estado De</t>
  </si>
  <si>
    <t xml:space="preserve">G34574269</t>
  </si>
  <si>
    <t xml:space="preserve">Horo</t>
  </si>
  <si>
    <t xml:space="preserve">Sammy</t>
  </si>
  <si>
    <t xml:space="preserve">21.10.1988</t>
  </si>
  <si>
    <t xml:space="preserve">AE, Art Gardens Arjan, 0000, Dubai</t>
  </si>
  <si>
    <t xml:space="preserve">548791116</t>
  </si>
  <si>
    <t xml:space="preserve">08.07.1962</t>
  </si>
  <si>
    <t xml:space="preserve">AP0688815</t>
  </si>
  <si>
    <t xml:space="preserve">Rauschenbach</t>
  </si>
  <si>
    <t xml:space="preserve">Susanne</t>
  </si>
  <si>
    <t xml:space="preserve">16.09.1961</t>
  </si>
  <si>
    <t xml:space="preserve">U1608632</t>
  </si>
  <si>
    <t xml:space="preserve">Brych</t>
  </si>
  <si>
    <t xml:space="preserve">Sieglinde</t>
  </si>
  <si>
    <t xml:space="preserve">18.03.1948</t>
  </si>
  <si>
    <t xml:space="preserve">U1380566</t>
  </si>
  <si>
    <t xml:space="preserve">Pongrac</t>
  </si>
  <si>
    <t xml:space="preserve">Christa</t>
  </si>
  <si>
    <t xml:space="preserve">01.04.1949</t>
  </si>
  <si>
    <t xml:space="preserve">U3897313</t>
  </si>
  <si>
    <t xml:space="preserve">Kokalj</t>
  </si>
  <si>
    <t xml:space="preserve">11.11.1968</t>
  </si>
  <si>
    <t xml:space="preserve">U4503989</t>
  </si>
  <si>
    <t xml:space="preserve">Opperman</t>
  </si>
  <si>
    <t xml:space="preserve">Diederick Johannes</t>
  </si>
  <si>
    <t xml:space="preserve">24.07.1996</t>
  </si>
  <si>
    <t xml:space="preserve">ZAF</t>
  </si>
  <si>
    <t xml:space="preserve">ZA</t>
  </si>
  <si>
    <t xml:space="preserve">A06236723</t>
  </si>
  <si>
    <t xml:space="preserve">901660068</t>
  </si>
  <si>
    <t xml:space="preserve">Almalki</t>
  </si>
  <si>
    <t xml:space="preserve">Reem Hussain G</t>
  </si>
  <si>
    <t xml:space="preserve">11.04.1991</t>
  </si>
  <si>
    <t xml:space="preserve">SAU</t>
  </si>
  <si>
    <t xml:space="preserve">SA, Riyadh, Riyadh</t>
  </si>
  <si>
    <t xml:space="preserve">Z802723</t>
  </si>
  <si>
    <t xml:space="preserve">901754159</t>
  </si>
  <si>
    <t xml:space="preserve">Hussain Ghormallah H</t>
  </si>
  <si>
    <t xml:space="preserve">10.01.1959</t>
  </si>
  <si>
    <t xml:space="preserve">BA39198</t>
  </si>
  <si>
    <t xml:space="preserve">901755382</t>
  </si>
  <si>
    <t xml:space="preserve">Daoud</t>
  </si>
  <si>
    <t xml:space="preserve">Sandra Sherif Samy Lati</t>
  </si>
  <si>
    <t xml:space="preserve">13.09.1982</t>
  </si>
  <si>
    <t xml:space="preserve">EGY</t>
  </si>
  <si>
    <t xml:space="preserve">DK</t>
  </si>
  <si>
    <t xml:space="preserve">DK1742961</t>
  </si>
  <si>
    <t xml:space="preserve">Colnaghi Simionato</t>
  </si>
  <si>
    <t xml:space="preserve">Ana Valeria</t>
  </si>
  <si>
    <t xml:space="preserve">06.05.1974</t>
  </si>
  <si>
    <t xml:space="preserve">BR, Al.Das Caviunas 337, Santana-De-Parnaiba</t>
  </si>
  <si>
    <t xml:space="preserve">GD317973</t>
  </si>
  <si>
    <t xml:space="preserve">Galic</t>
  </si>
  <si>
    <t xml:space="preserve">Marija</t>
  </si>
  <si>
    <t xml:space="preserve">25.09.1978</t>
  </si>
  <si>
    <t xml:space="preserve">HRV</t>
  </si>
  <si>
    <t xml:space="preserve">HR</t>
  </si>
  <si>
    <t xml:space="preserve">118420666</t>
  </si>
  <si>
    <t xml:space="preserve">Kulinski</t>
  </si>
  <si>
    <t xml:space="preserve">Michal Andrzej</t>
  </si>
  <si>
    <t xml:space="preserve">01.07.1984</t>
  </si>
  <si>
    <t xml:space="preserve">PL</t>
  </si>
  <si>
    <t xml:space="preserve">ET2745102</t>
  </si>
  <si>
    <t xml:space="preserve">Ruben Jandrik</t>
  </si>
  <si>
    <t xml:space="preserve">24.02.2000</t>
  </si>
  <si>
    <t xml:space="preserve">NL, Amersfoort</t>
  </si>
  <si>
    <t xml:space="preserve">NU7F5J117</t>
  </si>
  <si>
    <t xml:space="preserve">He</t>
  </si>
  <si>
    <t xml:space="preserve">Kai</t>
  </si>
  <si>
    <t xml:space="preserve">18.01.1983</t>
  </si>
  <si>
    <t xml:space="preserve">CHN</t>
  </si>
  <si>
    <t xml:space="preserve">CN, 8f  Fu Chun Da Sha, 33 310009, Hangzhou</t>
  </si>
  <si>
    <t xml:space="preserve">EK7991979</t>
  </si>
  <si>
    <t xml:space="preserve">069592501</t>
  </si>
  <si>
    <t xml:space="preserve">Aparicio</t>
  </si>
  <si>
    <t xml:space="preserve">Rodrigo</t>
  </si>
  <si>
    <t xml:space="preserve">03.05.1984</t>
  </si>
  <si>
    <t xml:space="preserve">PER</t>
  </si>
  <si>
    <t xml:space="preserve">DE, Rudolf Diesel St 12a, 65760, Eschborn</t>
  </si>
  <si>
    <t xml:space="preserve">yz83mvhm6</t>
  </si>
  <si>
    <t xml:space="preserve">Kispal</t>
  </si>
  <si>
    <t xml:space="preserve">Melinda</t>
  </si>
  <si>
    <t xml:space="preserve">21.11.1994</t>
  </si>
  <si>
    <t xml:space="preserve">HU, Szeget</t>
  </si>
  <si>
    <t xml:space="preserve">48362</t>
  </si>
  <si>
    <t xml:space="preserve">Toth</t>
  </si>
  <si>
    <t xml:space="preserve">Laszlo</t>
  </si>
  <si>
    <t xml:space="preserve">31.08.1968</t>
  </si>
  <si>
    <t xml:space="preserve">HU, Mercedes Benz Manufacturing Hungary Kft, 6000, Kecskemet</t>
  </si>
  <si>
    <t xml:space="preserve">479920ME</t>
  </si>
  <si>
    <t xml:space="preserve">Macrae</t>
  </si>
  <si>
    <t xml:space="preserve">James</t>
  </si>
  <si>
    <t xml:space="preserve">12.05.1979</t>
  </si>
  <si>
    <t xml:space="preserve">GB, 1 Midland Road, NW1 1AT, London</t>
  </si>
  <si>
    <t xml:space="preserve">628041991</t>
  </si>
  <si>
    <t xml:space="preserve">Xia</t>
  </si>
  <si>
    <t xml:space="preserve">Jianguo</t>
  </si>
  <si>
    <t xml:space="preserve">22.03.1977</t>
  </si>
  <si>
    <t xml:space="preserve">CAN</t>
  </si>
  <si>
    <t xml:space="preserve">CA, Mcgill University, H9X 3V9, Montreal</t>
  </si>
  <si>
    <t xml:space="preserve">P325102LS</t>
  </si>
  <si>
    <t xml:space="preserve">Tinoco</t>
  </si>
  <si>
    <t xml:space="preserve">Alexis</t>
  </si>
  <si>
    <t xml:space="preserve">22.10.2004</t>
  </si>
  <si>
    <t xml:space="preserve">153433747</t>
  </si>
  <si>
    <t xml:space="preserve">Ramirez</t>
  </si>
  <si>
    <t xml:space="preserve">Oliverio</t>
  </si>
  <si>
    <t xml:space="preserve">14.04.2004</t>
  </si>
  <si>
    <t xml:space="preserve">1620230738</t>
  </si>
  <si>
    <t xml:space="preserve">Smith</t>
  </si>
  <si>
    <t xml:space="preserve">Steven</t>
  </si>
  <si>
    <t xml:space="preserve">12.08.1994</t>
  </si>
  <si>
    <t xml:space="preserve">CZ</t>
  </si>
  <si>
    <t xml:space="preserve">1622138685</t>
  </si>
  <si>
    <t xml:space="preserve">Stinson</t>
  </si>
  <si>
    <t xml:space="preserve">Trenton</t>
  </si>
  <si>
    <t xml:space="preserve">28.08.2003</t>
  </si>
  <si>
    <t xml:space="preserve">1623149664</t>
  </si>
  <si>
    <t xml:space="preserve">Ternosky</t>
  </si>
  <si>
    <t xml:space="preserve">Paul</t>
  </si>
  <si>
    <t xml:space="preserve">06.10.1997</t>
  </si>
  <si>
    <t xml:space="preserve">1623596857</t>
  </si>
  <si>
    <t xml:space="preserve">Abdullahi</t>
  </si>
  <si>
    <t xml:space="preserve">Zakaria</t>
  </si>
  <si>
    <t xml:space="preserve">01.01.2002</t>
  </si>
  <si>
    <t xml:space="preserve">1588461102</t>
  </si>
  <si>
    <t xml:space="preserve">Merrell</t>
  </si>
  <si>
    <t xml:space="preserve">Darren</t>
  </si>
  <si>
    <t xml:space="preserve">09.02.1988</t>
  </si>
  <si>
    <t xml:space="preserve">1546166810</t>
  </si>
  <si>
    <t xml:space="preserve">Ancion</t>
  </si>
  <si>
    <t xml:space="preserve">19.03.2004</t>
  </si>
  <si>
    <t xml:space="preserve">1617210955</t>
  </si>
  <si>
    <t xml:space="preserve">Lugo-Nallem</t>
  </si>
  <si>
    <t xml:space="preserve">Stanley</t>
  </si>
  <si>
    <t xml:space="preserve">11.09.1996</t>
  </si>
  <si>
    <t xml:space="preserve">1621557781</t>
  </si>
  <si>
    <t xml:space="preserve">Dorsten</t>
  </si>
  <si>
    <t xml:space="preserve">Jacob</t>
  </si>
  <si>
    <t xml:space="preserve">24.04.1997</t>
  </si>
  <si>
    <t xml:space="preserve">1542676252</t>
  </si>
  <si>
    <t xml:space="preserve">Delcid</t>
  </si>
  <si>
    <t xml:space="preserve">Jason</t>
  </si>
  <si>
    <t xml:space="preserve">07.12.2004</t>
  </si>
  <si>
    <t xml:space="preserve">1612046464</t>
  </si>
  <si>
    <t xml:space="preserve">Littleton</t>
  </si>
  <si>
    <t xml:space="preserve">Riley</t>
  </si>
  <si>
    <t xml:space="preserve">24.05.2004</t>
  </si>
  <si>
    <t xml:space="preserve">1629882533</t>
  </si>
  <si>
    <t xml:space="preserve">Miller</t>
  </si>
  <si>
    <t xml:space="preserve">Gilbert</t>
  </si>
  <si>
    <t xml:space="preserve">1613473110</t>
  </si>
  <si>
    <t xml:space="preserve">Brooks</t>
  </si>
  <si>
    <t xml:space="preserve">Jamari</t>
  </si>
  <si>
    <t xml:space="preserve">30.08.2005</t>
  </si>
  <si>
    <t xml:space="preserve">1630435150</t>
  </si>
  <si>
    <t xml:space="preserve">Scarborough</t>
  </si>
  <si>
    <t xml:space="preserve">John</t>
  </si>
  <si>
    <t xml:space="preserve">28.05.1993</t>
  </si>
  <si>
    <t xml:space="preserve">1527388267</t>
  </si>
  <si>
    <t xml:space="preserve">Mahan</t>
  </si>
  <si>
    <t xml:space="preserve">Devin</t>
  </si>
  <si>
    <t xml:space="preserve">25.07.2003</t>
  </si>
  <si>
    <t xml:space="preserve">1616823368</t>
  </si>
  <si>
    <t xml:space="preserve">Mann</t>
  </si>
  <si>
    <t xml:space="preserve">Cannan</t>
  </si>
  <si>
    <t xml:space="preserve">30.07.2002</t>
  </si>
  <si>
    <t xml:space="preserve">1586747955</t>
  </si>
  <si>
    <t xml:space="preserve">Elizabeth Anne</t>
  </si>
  <si>
    <t xml:space="preserve">07.02.1955</t>
  </si>
  <si>
    <t xml:space="preserve">126369472</t>
  </si>
  <si>
    <t xml:space="preserve">Valerie M</t>
  </si>
  <si>
    <t xml:space="preserve">18.08.1953</t>
  </si>
  <si>
    <t xml:space="preserve">A00133387</t>
  </si>
  <si>
    <t xml:space="preserve">Sanders</t>
  </si>
  <si>
    <t xml:space="preserve">Claire Eberlin</t>
  </si>
  <si>
    <t xml:space="preserve">24.11.2015</t>
  </si>
  <si>
    <t xml:space="preserve">683340964</t>
  </si>
  <si>
    <t xml:space="preserve">Leah Eberlin</t>
  </si>
  <si>
    <t xml:space="preserve">23.04.2014</t>
  </si>
  <si>
    <t xml:space="preserve">A59633245</t>
  </si>
  <si>
    <t xml:space="preserve">Hembree</t>
  </si>
  <si>
    <t xml:space="preserve">Shaun Robert</t>
  </si>
  <si>
    <t xml:space="preserve">21.08.1985</t>
  </si>
  <si>
    <t xml:space="preserve">652006909</t>
  </si>
  <si>
    <t xml:space="preserve">Chang</t>
  </si>
  <si>
    <t xml:space="preserve">Kyle Yong Hua</t>
  </si>
  <si>
    <t xml:space="preserve">12.08.2004</t>
  </si>
  <si>
    <t xml:space="preserve">A12684600</t>
  </si>
  <si>
    <t xml:space="preserve">Hicks</t>
  </si>
  <si>
    <t xml:space="preserve">Devonte Orion</t>
  </si>
  <si>
    <t xml:space="preserve">15.10.2004</t>
  </si>
  <si>
    <t xml:space="preserve">A36520583</t>
  </si>
  <si>
    <t xml:space="preserve">Lewandowski</t>
  </si>
  <si>
    <t xml:space="preserve">Slawomir</t>
  </si>
  <si>
    <t xml:space="preserve">09.03.1978</t>
  </si>
  <si>
    <t xml:space="preserve">DBD403268</t>
  </si>
  <si>
    <t xml:space="preserve">Martina</t>
  </si>
  <si>
    <t xml:space="preserve">25.01.1976</t>
  </si>
  <si>
    <t xml:space="preserve">AT</t>
  </si>
  <si>
    <t xml:space="preserve">U3412574</t>
  </si>
  <si>
    <t xml:space="preserve">Ravi Deshpande</t>
  </si>
  <si>
    <t xml:space="preserve">Rahul</t>
  </si>
  <si>
    <t xml:space="preserve">13.02.1977</t>
  </si>
  <si>
    <t xml:space="preserve">IND</t>
  </si>
  <si>
    <t xml:space="preserve">IN, Mumbai, Mumbai</t>
  </si>
  <si>
    <t xml:space="preserve">V9381015</t>
  </si>
  <si>
    <t xml:space="preserve">Therese Ann</t>
  </si>
  <si>
    <t xml:space="preserve">18.10.1963</t>
  </si>
  <si>
    <t xml:space="preserve">US, California</t>
  </si>
  <si>
    <t xml:space="preserve">A58879278</t>
  </si>
  <si>
    <t xml:space="preserve">Albudaira</t>
  </si>
  <si>
    <t xml:space="preserve">Hussein</t>
  </si>
  <si>
    <t xml:space="preserve">16.11.1991</t>
  </si>
  <si>
    <t xml:space="preserve">SYR</t>
  </si>
  <si>
    <t xml:space="preserve">SY, Damascus</t>
  </si>
  <si>
    <t xml:space="preserve">00123L0252236</t>
  </si>
  <si>
    <t xml:space="preserve">901732494</t>
  </si>
  <si>
    <t xml:space="preserve">Van Der Zeeuw</t>
  </si>
  <si>
    <t xml:space="preserve">Daam</t>
  </si>
  <si>
    <t xml:space="preserve">19.08.2000</t>
  </si>
  <si>
    <t xml:space="preserve">NL, Nijmegen</t>
  </si>
  <si>
    <t xml:space="preserve">NN3872JC1</t>
  </si>
  <si>
    <t xml:space="preserve">Sandres</t>
  </si>
  <si>
    <t xml:space="preserve">Nathaniel Louis</t>
  </si>
  <si>
    <t xml:space="preserve">20.10.2016</t>
  </si>
  <si>
    <t xml:space="preserve">550463444</t>
  </si>
  <si>
    <t xml:space="preserve">Monique</t>
  </si>
  <si>
    <t xml:space="preserve">15.02.1996</t>
  </si>
  <si>
    <t xml:space="preserve">ZA, 11 Hoffman Street, 2531, Potchefstroom</t>
  </si>
  <si>
    <t xml:space="preserve">A11900396</t>
  </si>
  <si>
    <t xml:space="preserve">901660067</t>
  </si>
  <si>
    <t xml:space="preserve">Azab</t>
  </si>
  <si>
    <t xml:space="preserve">Sandi</t>
  </si>
  <si>
    <t xml:space="preserve">20.05.1983</t>
  </si>
  <si>
    <t xml:space="preserve">CA, 1280 Main St. West, L8S 4K1, Hamilton</t>
  </si>
  <si>
    <t xml:space="preserve">AN120938</t>
  </si>
  <si>
    <t xml:space="preserve">ABW</t>
  </si>
  <si>
    <t xml:space="preserve">Aruba</t>
  </si>
  <si>
    <t xml:space="preserve">AFG</t>
  </si>
  <si>
    <t xml:space="preserve">Afghánistán</t>
  </si>
  <si>
    <t xml:space="preserve">AGO</t>
  </si>
  <si>
    <t xml:space="preserve">Angola</t>
  </si>
  <si>
    <t xml:space="preserve">AIA</t>
  </si>
  <si>
    <t xml:space="preserve">Anguilla</t>
  </si>
  <si>
    <t xml:space="preserve">ALB</t>
  </si>
  <si>
    <t xml:space="preserve">Albánie</t>
  </si>
  <si>
    <t xml:space="preserve">AND</t>
  </si>
  <si>
    <t xml:space="preserve">Andorra</t>
  </si>
  <si>
    <t xml:space="preserve">ANT</t>
  </si>
  <si>
    <t xml:space="preserve">Nizozemské Antily</t>
  </si>
  <si>
    <t xml:space="preserve">ARE</t>
  </si>
  <si>
    <t xml:space="preserve">Spojené arabské emiráty</t>
  </si>
  <si>
    <t xml:space="preserve">ARG</t>
  </si>
  <si>
    <t xml:space="preserve">Argentina</t>
  </si>
  <si>
    <t xml:space="preserve">ARM</t>
  </si>
  <si>
    <t xml:space="preserve">Arménie</t>
  </si>
  <si>
    <t xml:space="preserve">ASM</t>
  </si>
  <si>
    <t xml:space="preserve">Americká Samoa</t>
  </si>
  <si>
    <t xml:space="preserve">ATA</t>
  </si>
  <si>
    <t xml:space="preserve">Antarktida</t>
  </si>
  <si>
    <t xml:space="preserve">ATF</t>
  </si>
  <si>
    <t xml:space="preserve">Francouzská jižní území</t>
  </si>
  <si>
    <t xml:space="preserve">ATG</t>
  </si>
  <si>
    <t xml:space="preserve">Antigua a Barbuda</t>
  </si>
  <si>
    <t xml:space="preserve">ATN</t>
  </si>
  <si>
    <t xml:space="preserve">Země královny Maud</t>
  </si>
  <si>
    <t xml:space="preserve">Austrálie</t>
  </si>
  <si>
    <t xml:space="preserve">Rakousko</t>
  </si>
  <si>
    <t xml:space="preserve">AZE</t>
  </si>
  <si>
    <t xml:space="preserve">Ázerbájdžán</t>
  </si>
  <si>
    <t xml:space="preserve">BDI</t>
  </si>
  <si>
    <t xml:space="preserve">Burundi</t>
  </si>
  <si>
    <t xml:space="preserve">BEL</t>
  </si>
  <si>
    <t xml:space="preserve">Belgie</t>
  </si>
  <si>
    <t xml:space="preserve">BEN</t>
  </si>
  <si>
    <t xml:space="preserve">Benin</t>
  </si>
  <si>
    <t xml:space="preserve">BES</t>
  </si>
  <si>
    <t xml:space="preserve">Bonaire, Saint Eustatius and Saba</t>
  </si>
  <si>
    <t xml:space="preserve">BFA</t>
  </si>
  <si>
    <t xml:space="preserve">Burkina Faso</t>
  </si>
  <si>
    <t xml:space="preserve">BGD</t>
  </si>
  <si>
    <t xml:space="preserve">Bangladéš</t>
  </si>
  <si>
    <t xml:space="preserve">BGR</t>
  </si>
  <si>
    <t xml:space="preserve">Bulharsko</t>
  </si>
  <si>
    <t xml:space="preserve">BHR</t>
  </si>
  <si>
    <t xml:space="preserve">Bahrajn</t>
  </si>
  <si>
    <t xml:space="preserve">BHS</t>
  </si>
  <si>
    <t xml:space="preserve">Bahamy</t>
  </si>
  <si>
    <t xml:space="preserve">BIH</t>
  </si>
  <si>
    <t xml:space="preserve">Bosna a Hercegovina</t>
  </si>
  <si>
    <t xml:space="preserve">BLM</t>
  </si>
  <si>
    <t xml:space="preserve">Saint Barthélemy</t>
  </si>
  <si>
    <t xml:space="preserve">BLR</t>
  </si>
  <si>
    <t xml:space="preserve">Bělorusko</t>
  </si>
  <si>
    <t xml:space="preserve">BLZ</t>
  </si>
  <si>
    <t xml:space="preserve">Belize</t>
  </si>
  <si>
    <t xml:space="preserve">BMU</t>
  </si>
  <si>
    <t xml:space="preserve">Bermudy</t>
  </si>
  <si>
    <t xml:space="preserve">BOL</t>
  </si>
  <si>
    <t xml:space="preserve">Bolívie</t>
  </si>
  <si>
    <t xml:space="preserve">Brazílie</t>
  </si>
  <si>
    <t xml:space="preserve">BRB</t>
  </si>
  <si>
    <t xml:space="preserve">Barbados</t>
  </si>
  <si>
    <t xml:space="preserve">BRN</t>
  </si>
  <si>
    <t xml:space="preserve">Brunej Darussalam</t>
  </si>
  <si>
    <t xml:space="preserve">BTN</t>
  </si>
  <si>
    <t xml:space="preserve">Bhútán</t>
  </si>
  <si>
    <t xml:space="preserve">BVT</t>
  </si>
  <si>
    <t xml:space="preserve">Bouvetův ostrov</t>
  </si>
  <si>
    <t xml:space="preserve">BWA</t>
  </si>
  <si>
    <t xml:space="preserve">Botswana</t>
  </si>
  <si>
    <t xml:space="preserve">CAF</t>
  </si>
  <si>
    <t xml:space="preserve">Středoafrická republika</t>
  </si>
  <si>
    <t xml:space="preserve">Kanada</t>
  </si>
  <si>
    <t xml:space="preserve">CCK</t>
  </si>
  <si>
    <t xml:space="preserve">Kokosové ostrovy</t>
  </si>
  <si>
    <t xml:space="preserve">CIV</t>
  </si>
  <si>
    <t xml:space="preserve">Pobřeží slonoviny</t>
  </si>
  <si>
    <t xml:space="preserve">CMR</t>
  </si>
  <si>
    <t xml:space="preserve">Kamerun</t>
  </si>
  <si>
    <t xml:space="preserve">COD</t>
  </si>
  <si>
    <t xml:space="preserve">Kongo, demokratická republika</t>
  </si>
  <si>
    <t xml:space="preserve">COG</t>
  </si>
  <si>
    <t xml:space="preserve">Kongo</t>
  </si>
  <si>
    <t xml:space="preserve">COK</t>
  </si>
  <si>
    <t xml:space="preserve">Cookovy ostrovy</t>
  </si>
  <si>
    <t xml:space="preserve">COL</t>
  </si>
  <si>
    <t xml:space="preserve">Kolumbie</t>
  </si>
  <si>
    <t xml:space="preserve">COM</t>
  </si>
  <si>
    <t xml:space="preserve">Komory</t>
  </si>
  <si>
    <t xml:space="preserve">CPV</t>
  </si>
  <si>
    <t xml:space="preserve">Kapverdy</t>
  </si>
  <si>
    <t xml:space="preserve">CRI</t>
  </si>
  <si>
    <t xml:space="preserve">Kostarika</t>
  </si>
  <si>
    <t xml:space="preserve">CUB</t>
  </si>
  <si>
    <t xml:space="preserve">Kuba</t>
  </si>
  <si>
    <t xml:space="preserve">CUW</t>
  </si>
  <si>
    <t xml:space="preserve">Curaçao</t>
  </si>
  <si>
    <t xml:space="preserve">CXR</t>
  </si>
  <si>
    <t xml:space="preserve">Vánoční ostrov</t>
  </si>
  <si>
    <t xml:space="preserve">CYM</t>
  </si>
  <si>
    <t xml:space="preserve">Kajmanské ostrovy</t>
  </si>
  <si>
    <t xml:space="preserve">CYP</t>
  </si>
  <si>
    <t xml:space="preserve">Kypr</t>
  </si>
  <si>
    <t xml:space="preserve">Německo</t>
  </si>
  <si>
    <t xml:space="preserve">DJI</t>
  </si>
  <si>
    <t xml:space="preserve">Džibutsko</t>
  </si>
  <si>
    <t xml:space="preserve">DMA</t>
  </si>
  <si>
    <t xml:space="preserve">Dominika</t>
  </si>
  <si>
    <t xml:space="preserve">DNK</t>
  </si>
  <si>
    <t xml:space="preserve">Dánsko</t>
  </si>
  <si>
    <t xml:space="preserve">DOM</t>
  </si>
  <si>
    <t xml:space="preserve">Dominikánská republika</t>
  </si>
  <si>
    <t xml:space="preserve">DZA</t>
  </si>
  <si>
    <t xml:space="preserve">Alžírsko</t>
  </si>
  <si>
    <t xml:space="preserve">ECU</t>
  </si>
  <si>
    <t xml:space="preserve">Ekvádor</t>
  </si>
  <si>
    <t xml:space="preserve">Egypt</t>
  </si>
  <si>
    <t xml:space="preserve">ERI</t>
  </si>
  <si>
    <t xml:space="preserve">Eritrea</t>
  </si>
  <si>
    <t xml:space="preserve">ESH</t>
  </si>
  <si>
    <t xml:space="preserve">Západní Sahara</t>
  </si>
  <si>
    <t xml:space="preserve">ESP</t>
  </si>
  <si>
    <t xml:space="preserve">Španělsko</t>
  </si>
  <si>
    <t xml:space="preserve">EST</t>
  </si>
  <si>
    <t xml:space="preserve">Estonsko</t>
  </si>
  <si>
    <t xml:space="preserve">ETH</t>
  </si>
  <si>
    <t xml:space="preserve">Etiopie</t>
  </si>
  <si>
    <t xml:space="preserve">FIN</t>
  </si>
  <si>
    <t xml:space="preserve">Finsko</t>
  </si>
  <si>
    <t xml:space="preserve">FJI</t>
  </si>
  <si>
    <t xml:space="preserve">Fidži</t>
  </si>
  <si>
    <t xml:space="preserve">FLK</t>
  </si>
  <si>
    <t xml:space="preserve">Falklandy</t>
  </si>
  <si>
    <t xml:space="preserve">FRA</t>
  </si>
  <si>
    <t xml:space="preserve">Francie</t>
  </si>
  <si>
    <t xml:space="preserve">FRO</t>
  </si>
  <si>
    <t xml:space="preserve">Faerské ostrovy</t>
  </si>
  <si>
    <t xml:space="preserve">FSM</t>
  </si>
  <si>
    <t xml:space="preserve">Mikronésie</t>
  </si>
  <si>
    <t xml:space="preserve">FXX</t>
  </si>
  <si>
    <t xml:space="preserve">Francie metropolitní</t>
  </si>
  <si>
    <t xml:space="preserve">GAB</t>
  </si>
  <si>
    <t xml:space="preserve">Gabon</t>
  </si>
  <si>
    <t xml:space="preserve">GBD</t>
  </si>
  <si>
    <t xml:space="preserve">britská závislá území</t>
  </si>
  <si>
    <t xml:space="preserve">GBN</t>
  </si>
  <si>
    <t xml:space="preserve">britská zámořská národnost</t>
  </si>
  <si>
    <t xml:space="preserve">GBO</t>
  </si>
  <si>
    <t xml:space="preserve">britské zámořské území</t>
  </si>
  <si>
    <t xml:space="preserve">GBP</t>
  </si>
  <si>
    <t xml:space="preserve">britské chráněné osoby</t>
  </si>
  <si>
    <t xml:space="preserve">Spojené království</t>
  </si>
  <si>
    <t xml:space="preserve">GBS</t>
  </si>
  <si>
    <t xml:space="preserve">Britský subjekt</t>
  </si>
  <si>
    <t xml:space="preserve">GEO</t>
  </si>
  <si>
    <t xml:space="preserve">Gruzie</t>
  </si>
  <si>
    <t xml:space="preserve">GHA</t>
  </si>
  <si>
    <t xml:space="preserve">Ghana</t>
  </si>
  <si>
    <t xml:space="preserve">GIB</t>
  </si>
  <si>
    <t xml:space="preserve">Gibraltar</t>
  </si>
  <si>
    <t xml:space="preserve">GIN</t>
  </si>
  <si>
    <t xml:space="preserve">Guinea</t>
  </si>
  <si>
    <t xml:space="preserve">GLP</t>
  </si>
  <si>
    <t xml:space="preserve">Guadeloupe</t>
  </si>
  <si>
    <t xml:space="preserve">GMB</t>
  </si>
  <si>
    <t xml:space="preserve">Gambie</t>
  </si>
  <si>
    <t xml:space="preserve">GNB</t>
  </si>
  <si>
    <t xml:space="preserve">Guinea-Bissau</t>
  </si>
  <si>
    <t xml:space="preserve">GNQ</t>
  </si>
  <si>
    <t xml:space="preserve">Rovníková Guinea</t>
  </si>
  <si>
    <t xml:space="preserve">GRC</t>
  </si>
  <si>
    <t xml:space="preserve">Řecko</t>
  </si>
  <si>
    <t xml:space="preserve">GRD</t>
  </si>
  <si>
    <t xml:space="preserve">Grenada</t>
  </si>
  <si>
    <t xml:space="preserve">GRL</t>
  </si>
  <si>
    <t xml:space="preserve">Grónsko</t>
  </si>
  <si>
    <t xml:space="preserve">GTM</t>
  </si>
  <si>
    <t xml:space="preserve">Guatemala</t>
  </si>
  <si>
    <t xml:space="preserve">GUF</t>
  </si>
  <si>
    <t xml:space="preserve">Francouzská Guyana</t>
  </si>
  <si>
    <t xml:space="preserve">GUM</t>
  </si>
  <si>
    <t xml:space="preserve">Guam</t>
  </si>
  <si>
    <t xml:space="preserve">GUY</t>
  </si>
  <si>
    <t xml:space="preserve">Guyana</t>
  </si>
  <si>
    <t xml:space="preserve">HKG</t>
  </si>
  <si>
    <t xml:space="preserve">Hongkong</t>
  </si>
  <si>
    <t xml:space="preserve">HMD</t>
  </si>
  <si>
    <t xml:space="preserve">Heardův ostrov a McDonaldovy ostrovy</t>
  </si>
  <si>
    <t xml:space="preserve">HND</t>
  </si>
  <si>
    <t xml:space="preserve">Honduras</t>
  </si>
  <si>
    <t xml:space="preserve">Chorvatsko</t>
  </si>
  <si>
    <t xml:space="preserve">HTI</t>
  </si>
  <si>
    <t xml:space="preserve">Haiti</t>
  </si>
  <si>
    <t xml:space="preserve">Maďarsko</t>
  </si>
  <si>
    <t xml:space="preserve">Švýcarsko</t>
  </si>
  <si>
    <t xml:space="preserve">CHL</t>
  </si>
  <si>
    <t xml:space="preserve">Chile</t>
  </si>
  <si>
    <t xml:space="preserve">Čína</t>
  </si>
  <si>
    <t xml:space="preserve">IDN</t>
  </si>
  <si>
    <t xml:space="preserve">Indonésie</t>
  </si>
  <si>
    <t xml:space="preserve">IMY</t>
  </si>
  <si>
    <t xml:space="preserve">ostrov Man</t>
  </si>
  <si>
    <t xml:space="preserve">Indie</t>
  </si>
  <si>
    <t xml:space="preserve">IOT</t>
  </si>
  <si>
    <t xml:space="preserve">Britské indickooceánské území</t>
  </si>
  <si>
    <t xml:space="preserve">IRL</t>
  </si>
  <si>
    <t xml:space="preserve">Irsko</t>
  </si>
  <si>
    <t xml:space="preserve">IRN</t>
  </si>
  <si>
    <t xml:space="preserve">Írán</t>
  </si>
  <si>
    <t xml:space="preserve">IRQ</t>
  </si>
  <si>
    <t xml:space="preserve">Irák</t>
  </si>
  <si>
    <t xml:space="preserve">ISL</t>
  </si>
  <si>
    <t xml:space="preserve">Island</t>
  </si>
  <si>
    <t xml:space="preserve">Izrael</t>
  </si>
  <si>
    <t xml:space="preserve">ITA</t>
  </si>
  <si>
    <t xml:space="preserve">Itálie</t>
  </si>
  <si>
    <t xml:space="preserve">JAM</t>
  </si>
  <si>
    <t xml:space="preserve">Jamajka</t>
  </si>
  <si>
    <t xml:space="preserve">JOR</t>
  </si>
  <si>
    <t xml:space="preserve">Jordánsko</t>
  </si>
  <si>
    <t xml:space="preserve">Japonsko</t>
  </si>
  <si>
    <t xml:space="preserve">KAZ</t>
  </si>
  <si>
    <t xml:space="preserve">Kazachstán</t>
  </si>
  <si>
    <t xml:space="preserve">KEN</t>
  </si>
  <si>
    <t xml:space="preserve">Keňa</t>
  </si>
  <si>
    <t xml:space="preserve">KGZ</t>
  </si>
  <si>
    <t xml:space="preserve">Kyrgyzstán</t>
  </si>
  <si>
    <t xml:space="preserve">KHM</t>
  </si>
  <si>
    <t xml:space="preserve">Kambodža</t>
  </si>
  <si>
    <t xml:space="preserve">KIR</t>
  </si>
  <si>
    <t xml:space="preserve">Kiribati</t>
  </si>
  <si>
    <t xml:space="preserve">KNA</t>
  </si>
  <si>
    <t xml:space="preserve">Svatý Kryštof a Nevis</t>
  </si>
  <si>
    <t xml:space="preserve">KOR</t>
  </si>
  <si>
    <t xml:space="preserve">Korea</t>
  </si>
  <si>
    <t xml:space="preserve">KWT</t>
  </si>
  <si>
    <t xml:space="preserve">Kuvajt</t>
  </si>
  <si>
    <t xml:space="preserve">LAO</t>
  </si>
  <si>
    <t xml:space="preserve">Laos</t>
  </si>
  <si>
    <t xml:space="preserve">LBN</t>
  </si>
  <si>
    <t xml:space="preserve">Libanon</t>
  </si>
  <si>
    <t xml:space="preserve">LBR</t>
  </si>
  <si>
    <t xml:space="preserve">Libérie</t>
  </si>
  <si>
    <t xml:space="preserve">LBY</t>
  </si>
  <si>
    <t xml:space="preserve">Libye</t>
  </si>
  <si>
    <t xml:space="preserve">LCA</t>
  </si>
  <si>
    <t xml:space="preserve">Svatá Lucie</t>
  </si>
  <si>
    <t xml:space="preserve">LIE</t>
  </si>
  <si>
    <t xml:space="preserve">Lichtenštejnsko</t>
  </si>
  <si>
    <t xml:space="preserve">LKA</t>
  </si>
  <si>
    <t xml:space="preserve">Srí Lanka</t>
  </si>
  <si>
    <t xml:space="preserve">LSO</t>
  </si>
  <si>
    <t xml:space="preserve">Lesotho</t>
  </si>
  <si>
    <t xml:space="preserve">LTU</t>
  </si>
  <si>
    <t xml:space="preserve">Litva</t>
  </si>
  <si>
    <t xml:space="preserve">LUX</t>
  </si>
  <si>
    <t xml:space="preserve">Lucembursko</t>
  </si>
  <si>
    <t xml:space="preserve">Lotyšsko</t>
  </si>
  <si>
    <t xml:space="preserve">MAC</t>
  </si>
  <si>
    <t xml:space="preserve">Macao</t>
  </si>
  <si>
    <t xml:space="preserve">MAF</t>
  </si>
  <si>
    <t xml:space="preserve">Saint Martin</t>
  </si>
  <si>
    <t xml:space="preserve">MAR</t>
  </si>
  <si>
    <t xml:space="preserve">Maroko</t>
  </si>
  <si>
    <t xml:space="preserve">MCO</t>
  </si>
  <si>
    <t xml:space="preserve">Monako</t>
  </si>
  <si>
    <t xml:space="preserve">MDA</t>
  </si>
  <si>
    <t xml:space="preserve">Moldavsko</t>
  </si>
  <si>
    <t xml:space="preserve">MDG</t>
  </si>
  <si>
    <t xml:space="preserve">Madagaskar</t>
  </si>
  <si>
    <t xml:space="preserve">MDV</t>
  </si>
  <si>
    <t xml:space="preserve">Maledivy</t>
  </si>
  <si>
    <t xml:space="preserve">Mexiko</t>
  </si>
  <si>
    <t xml:space="preserve">MHL</t>
  </si>
  <si>
    <t xml:space="preserve">Marshallovy ostrovy</t>
  </si>
  <si>
    <t xml:space="preserve">MKD</t>
  </si>
  <si>
    <t xml:space="preserve">Makedonie</t>
  </si>
  <si>
    <t xml:space="preserve">MLI</t>
  </si>
  <si>
    <t xml:space="preserve">Mali</t>
  </si>
  <si>
    <t xml:space="preserve">MLT</t>
  </si>
  <si>
    <t xml:space="preserve">Malta</t>
  </si>
  <si>
    <t xml:space="preserve">MMR</t>
  </si>
  <si>
    <t xml:space="preserve">Myanmar</t>
  </si>
  <si>
    <t xml:space="preserve">MNE</t>
  </si>
  <si>
    <t xml:space="preserve">Černá Hora</t>
  </si>
  <si>
    <t xml:space="preserve">MNG</t>
  </si>
  <si>
    <t xml:space="preserve">Mongolsko</t>
  </si>
  <si>
    <t xml:space="preserve">MNP</t>
  </si>
  <si>
    <t xml:space="preserve">Severní Mariany</t>
  </si>
  <si>
    <t xml:space="preserve">MOZ</t>
  </si>
  <si>
    <t xml:space="preserve">Mosambik</t>
  </si>
  <si>
    <t xml:space="preserve">MRT</t>
  </si>
  <si>
    <t xml:space="preserve">Mauritánie</t>
  </si>
  <si>
    <t xml:space="preserve">MSR</t>
  </si>
  <si>
    <t xml:space="preserve">Montserrat</t>
  </si>
  <si>
    <t xml:space="preserve">MTQ</t>
  </si>
  <si>
    <t xml:space="preserve">Martinik</t>
  </si>
  <si>
    <t xml:space="preserve">MUS</t>
  </si>
  <si>
    <t xml:space="preserve">Mauricius</t>
  </si>
  <si>
    <t xml:space="preserve">MWI</t>
  </si>
  <si>
    <t xml:space="preserve">Malawi</t>
  </si>
  <si>
    <t xml:space="preserve">MYS</t>
  </si>
  <si>
    <t xml:space="preserve">Malajsie</t>
  </si>
  <si>
    <t xml:space="preserve">MYT</t>
  </si>
  <si>
    <t xml:space="preserve">Mayotte</t>
  </si>
  <si>
    <t xml:space="preserve">NAM</t>
  </si>
  <si>
    <t xml:space="preserve">Namibie</t>
  </si>
  <si>
    <t xml:space="preserve">NCL</t>
  </si>
  <si>
    <t xml:space="preserve">Nová Kaledonie</t>
  </si>
  <si>
    <t xml:space="preserve">NER</t>
  </si>
  <si>
    <t xml:space="preserve">Niger</t>
  </si>
  <si>
    <t xml:space="preserve">NFK</t>
  </si>
  <si>
    <t xml:space="preserve">Norfolk</t>
  </si>
  <si>
    <t xml:space="preserve">NGA</t>
  </si>
  <si>
    <t xml:space="preserve">Nigérie</t>
  </si>
  <si>
    <t xml:space="preserve">NIC</t>
  </si>
  <si>
    <t xml:space="preserve">Nikaragua</t>
  </si>
  <si>
    <t xml:space="preserve">NIU</t>
  </si>
  <si>
    <t xml:space="preserve">Niue</t>
  </si>
  <si>
    <t xml:space="preserve">Nizozemsko</t>
  </si>
  <si>
    <t xml:space="preserve">NOR</t>
  </si>
  <si>
    <t xml:space="preserve">Norsko</t>
  </si>
  <si>
    <t xml:space="preserve">NPL</t>
  </si>
  <si>
    <t xml:space="preserve">Nepál</t>
  </si>
  <si>
    <t xml:space="preserve">NRU</t>
  </si>
  <si>
    <t xml:space="preserve">Nauru</t>
  </si>
  <si>
    <t xml:space="preserve">NTZ</t>
  </si>
  <si>
    <t xml:space="preserve">neutrální zóna</t>
  </si>
  <si>
    <t xml:space="preserve">NZL</t>
  </si>
  <si>
    <t xml:space="preserve">Nový Zéland</t>
  </si>
  <si>
    <t xml:space="preserve">OMN</t>
  </si>
  <si>
    <t xml:space="preserve">Omán</t>
  </si>
  <si>
    <t xml:space="preserve">PAK</t>
  </si>
  <si>
    <t xml:space="preserve">Pákistán</t>
  </si>
  <si>
    <t xml:space="preserve">PAN</t>
  </si>
  <si>
    <t xml:space="preserve">Panama</t>
  </si>
  <si>
    <t xml:space="preserve">PCI</t>
  </si>
  <si>
    <t xml:space="preserve">Tichomořské ostrovy</t>
  </si>
  <si>
    <t xml:space="preserve">PCN</t>
  </si>
  <si>
    <t xml:space="preserve">Pitcairn</t>
  </si>
  <si>
    <t xml:space="preserve">Peru</t>
  </si>
  <si>
    <t xml:space="preserve">PHL</t>
  </si>
  <si>
    <t xml:space="preserve">Filipíny</t>
  </si>
  <si>
    <t xml:space="preserve">PLW</t>
  </si>
  <si>
    <t xml:space="preserve">Palau</t>
  </si>
  <si>
    <t xml:space="preserve">PNG</t>
  </si>
  <si>
    <t xml:space="preserve">Papua Nová Guinea</t>
  </si>
  <si>
    <t xml:space="preserve">Polsko</t>
  </si>
  <si>
    <t xml:space="preserve">PRI</t>
  </si>
  <si>
    <t xml:space="preserve">Portoriko</t>
  </si>
  <si>
    <t xml:space="preserve">PRK</t>
  </si>
  <si>
    <t xml:space="preserve">Korea, lidově demokratická republika</t>
  </si>
  <si>
    <t xml:space="preserve">PRT</t>
  </si>
  <si>
    <t xml:space="preserve">Portugalsko</t>
  </si>
  <si>
    <t xml:space="preserve">PRY</t>
  </si>
  <si>
    <t xml:space="preserve">Paraguay</t>
  </si>
  <si>
    <t xml:space="preserve">PSE</t>
  </si>
  <si>
    <t xml:space="preserve">Palestina</t>
  </si>
  <si>
    <t xml:space="preserve">PUS</t>
  </si>
  <si>
    <t xml:space="preserve">ostrovy USA v Tichém oceánu</t>
  </si>
  <si>
    <t xml:space="preserve">PYF</t>
  </si>
  <si>
    <t xml:space="preserve">Francouzská Polynésie</t>
  </si>
  <si>
    <t xml:space="preserve">QAT</t>
  </si>
  <si>
    <t xml:space="preserve">Katar</t>
  </si>
  <si>
    <t xml:space="preserve">REU</t>
  </si>
  <si>
    <t xml:space="preserve">Reunion</t>
  </si>
  <si>
    <t xml:space="preserve">RKS</t>
  </si>
  <si>
    <t xml:space="preserve">Republika Kosovo</t>
  </si>
  <si>
    <t xml:space="preserve">ROU</t>
  </si>
  <si>
    <t xml:space="preserve">Rumunsko</t>
  </si>
  <si>
    <t xml:space="preserve">RUS</t>
  </si>
  <si>
    <t xml:space="preserve">Rusko</t>
  </si>
  <si>
    <t xml:space="preserve">RWA</t>
  </si>
  <si>
    <t xml:space="preserve">Rwanda</t>
  </si>
  <si>
    <t xml:space="preserve">Saúdská Arábie</t>
  </si>
  <si>
    <t xml:space="preserve">SCG</t>
  </si>
  <si>
    <t xml:space="preserve">Srbsko a Černá Hora</t>
  </si>
  <si>
    <t xml:space="preserve">SDN</t>
  </si>
  <si>
    <t xml:space="preserve">Súdán</t>
  </si>
  <si>
    <t xml:space="preserve">SEN</t>
  </si>
  <si>
    <t xml:space="preserve">Senegal</t>
  </si>
  <si>
    <t xml:space="preserve">SGP</t>
  </si>
  <si>
    <t xml:space="preserve">Singapur</t>
  </si>
  <si>
    <t xml:space="preserve">SGS</t>
  </si>
  <si>
    <t xml:space="preserve">Jižní Georgie a Jižní Sandwichovy ostrovy</t>
  </si>
  <si>
    <t xml:space="preserve">SHN</t>
  </si>
  <si>
    <t xml:space="preserve">Svatá Helena</t>
  </si>
  <si>
    <t xml:space="preserve">SJM</t>
  </si>
  <si>
    <t xml:space="preserve">Svalbard and Jan Mayen Islands</t>
  </si>
  <si>
    <t xml:space="preserve">SLB</t>
  </si>
  <si>
    <t xml:space="preserve">Šalamounovy ostrovy</t>
  </si>
  <si>
    <t xml:space="preserve">SLE</t>
  </si>
  <si>
    <t xml:space="preserve">Sierra Leone</t>
  </si>
  <si>
    <t xml:space="preserve">SLV</t>
  </si>
  <si>
    <t xml:space="preserve">Salvador</t>
  </si>
  <si>
    <t xml:space="preserve">SMR</t>
  </si>
  <si>
    <t xml:space="preserve">San Marino</t>
  </si>
  <si>
    <t xml:space="preserve">SNS</t>
  </si>
  <si>
    <t xml:space="preserve">Spol. nezávisl.st.</t>
  </si>
  <si>
    <t xml:space="preserve">SOM</t>
  </si>
  <si>
    <t xml:space="preserve">Somálsko</t>
  </si>
  <si>
    <t xml:space="preserve">SPM</t>
  </si>
  <si>
    <t xml:space="preserve">Saint Pierre a Miquelon</t>
  </si>
  <si>
    <t xml:space="preserve">SRB</t>
  </si>
  <si>
    <t xml:space="preserve">Srbsko</t>
  </si>
  <si>
    <t xml:space="preserve">SSD</t>
  </si>
  <si>
    <t xml:space="preserve">Jižní Súdán</t>
  </si>
  <si>
    <t xml:space="preserve">STP</t>
  </si>
  <si>
    <t xml:space="preserve">Svatý Tomáš</t>
  </si>
  <si>
    <t xml:space="preserve">SUR</t>
  </si>
  <si>
    <t xml:space="preserve">Surinam</t>
  </si>
  <si>
    <t xml:space="preserve">SVK</t>
  </si>
  <si>
    <t xml:space="preserve">Slovensko</t>
  </si>
  <si>
    <t xml:space="preserve">SVN</t>
  </si>
  <si>
    <t xml:space="preserve">Slovinsko</t>
  </si>
  <si>
    <t xml:space="preserve">SWE</t>
  </si>
  <si>
    <t xml:space="preserve">Švédsko</t>
  </si>
  <si>
    <t xml:space="preserve">SWZ</t>
  </si>
  <si>
    <t xml:space="preserve">Svazijsko</t>
  </si>
  <si>
    <t xml:space="preserve">SXM</t>
  </si>
  <si>
    <t xml:space="preserve">Sint Maarten (Dutch part)</t>
  </si>
  <si>
    <t xml:space="preserve">SYC</t>
  </si>
  <si>
    <t xml:space="preserve">Seychely</t>
  </si>
  <si>
    <t xml:space="preserve">Sýrie</t>
  </si>
  <si>
    <t xml:space="preserve">TCA</t>
  </si>
  <si>
    <t xml:space="preserve">Turks a Caicos</t>
  </si>
  <si>
    <t xml:space="preserve">TCD</t>
  </si>
  <si>
    <t xml:space="preserve">Čad</t>
  </si>
  <si>
    <t xml:space="preserve">TGO</t>
  </si>
  <si>
    <t xml:space="preserve">Togo</t>
  </si>
  <si>
    <t xml:space="preserve">THA</t>
  </si>
  <si>
    <t xml:space="preserve">Thajsko</t>
  </si>
  <si>
    <t xml:space="preserve">TJK</t>
  </si>
  <si>
    <t xml:space="preserve">Tádžikistán</t>
  </si>
  <si>
    <t xml:space="preserve">TKL</t>
  </si>
  <si>
    <t xml:space="preserve">Tokelau</t>
  </si>
  <si>
    <t xml:space="preserve">TKM</t>
  </si>
  <si>
    <t xml:space="preserve">Turkmenistán</t>
  </si>
  <si>
    <t xml:space="preserve">TLS</t>
  </si>
  <si>
    <t xml:space="preserve">Východní Timor</t>
  </si>
  <si>
    <t xml:space="preserve">TON</t>
  </si>
  <si>
    <t xml:space="preserve">Tonga</t>
  </si>
  <si>
    <t xml:space="preserve">TTO</t>
  </si>
  <si>
    <t xml:space="preserve">Trinidad a Tobago</t>
  </si>
  <si>
    <t xml:space="preserve">TUN</t>
  </si>
  <si>
    <t xml:space="preserve">Tunisko</t>
  </si>
  <si>
    <t xml:space="preserve">TUR</t>
  </si>
  <si>
    <t xml:space="preserve">Turecko</t>
  </si>
  <si>
    <t xml:space="preserve">TUV</t>
  </si>
  <si>
    <t xml:space="preserve">Tuvalu</t>
  </si>
  <si>
    <t xml:space="preserve">TWN</t>
  </si>
  <si>
    <t xml:space="preserve">Tchaj-wan</t>
  </si>
  <si>
    <t xml:space="preserve">TZA</t>
  </si>
  <si>
    <t xml:space="preserve">Tanzánie</t>
  </si>
  <si>
    <t xml:space="preserve">UGA</t>
  </si>
  <si>
    <t xml:space="preserve">Uganda</t>
  </si>
  <si>
    <t xml:space="preserve">Ukrajina</t>
  </si>
  <si>
    <t xml:space="preserve">UMI</t>
  </si>
  <si>
    <t xml:space="preserve">Menší odlehlé ostrovy USA</t>
  </si>
  <si>
    <t xml:space="preserve">UNA</t>
  </si>
  <si>
    <t xml:space="preserve">Agentura spojených národů</t>
  </si>
  <si>
    <t xml:space="preserve">UNK</t>
  </si>
  <si>
    <t xml:space="preserve">Kosovo - státy EU neuznávaný</t>
  </si>
  <si>
    <t xml:space="preserve">UNO</t>
  </si>
  <si>
    <t xml:space="preserve">Organizace spojených národů</t>
  </si>
  <si>
    <t xml:space="preserve">URY</t>
  </si>
  <si>
    <t xml:space="preserve">Uruguay</t>
  </si>
  <si>
    <t xml:space="preserve">Spojené státy</t>
  </si>
  <si>
    <t xml:space="preserve">UZB</t>
  </si>
  <si>
    <t xml:space="preserve">Uzbekistán</t>
  </si>
  <si>
    <t xml:space="preserve">VAT</t>
  </si>
  <si>
    <t xml:space="preserve">Vatikán (Svatý stolec)</t>
  </si>
  <si>
    <t xml:space="preserve">VCT</t>
  </si>
  <si>
    <t xml:space="preserve">Svatý Vincenc a Grenadiny</t>
  </si>
  <si>
    <t xml:space="preserve">VEN</t>
  </si>
  <si>
    <t xml:space="preserve">Venezuela</t>
  </si>
  <si>
    <t xml:space="preserve">VGB</t>
  </si>
  <si>
    <t xml:space="preserve">Britské Panenské ostrovy</t>
  </si>
  <si>
    <t xml:space="preserve">VIR</t>
  </si>
  <si>
    <t xml:space="preserve">Americké Panenské ostrovy</t>
  </si>
  <si>
    <t xml:space="preserve">VNM</t>
  </si>
  <si>
    <t xml:space="preserve">Vietnam</t>
  </si>
  <si>
    <t xml:space="preserve">VUT</t>
  </si>
  <si>
    <t xml:space="preserve">Vanuatu</t>
  </si>
  <si>
    <t xml:space="preserve">WLF</t>
  </si>
  <si>
    <t xml:space="preserve">Wallis a Futuna</t>
  </si>
  <si>
    <t xml:space="preserve">WSM</t>
  </si>
  <si>
    <t xml:space="preserve">Samoa</t>
  </si>
  <si>
    <t xml:space="preserve">XEU</t>
  </si>
  <si>
    <t xml:space="preserve">Evropská unie</t>
  </si>
  <si>
    <t xml:space="preserve">XGG</t>
  </si>
  <si>
    <t xml:space="preserve">Guernsey</t>
  </si>
  <si>
    <t xml:space="preserve">XJE</t>
  </si>
  <si>
    <t xml:space="preserve">Jersey</t>
  </si>
  <si>
    <t xml:space="preserve">XKO</t>
  </si>
  <si>
    <t xml:space="preserve">Kosovo - archiv (do 11.2.2015)</t>
  </si>
  <si>
    <t xml:space="preserve">XMR</t>
  </si>
  <si>
    <t xml:space="preserve">Svrchovaný řád maltézských rytířů</t>
  </si>
  <si>
    <t xml:space="preserve">XXA</t>
  </si>
  <si>
    <t xml:space="preserve">osoba bez státní příslušnosti</t>
  </si>
  <si>
    <t xml:space="preserve">XXB</t>
  </si>
  <si>
    <t xml:space="preserve">uprchlík dle konvence  1951</t>
  </si>
  <si>
    <t xml:space="preserve">XXC</t>
  </si>
  <si>
    <t xml:space="preserve">uprchlík ostatní</t>
  </si>
  <si>
    <t xml:space="preserve">XXK</t>
  </si>
  <si>
    <t xml:space="preserve">Kosovo</t>
  </si>
  <si>
    <t xml:space="preserve">XXX</t>
  </si>
  <si>
    <t xml:space="preserve">neuvedený stát</t>
  </si>
  <si>
    <t xml:space="preserve">YEM</t>
  </si>
  <si>
    <t xml:space="preserve">Jemen</t>
  </si>
  <si>
    <t xml:space="preserve">Jihoafrická republika</t>
  </si>
  <si>
    <t xml:space="preserve">ZMB</t>
  </si>
  <si>
    <t xml:space="preserve">Zambie</t>
  </si>
  <si>
    <t xml:space="preserve">ZWE</t>
  </si>
  <si>
    <t xml:space="preserve">Zimbabwe</t>
  </si>
  <si>
    <t xml:space="preserve">00</t>
  </si>
  <si>
    <t xml:space="preserve">ZDRAVOTNÍ</t>
  </si>
  <si>
    <t xml:space="preserve">01</t>
  </si>
  <si>
    <t xml:space="preserve">OBCHODNÍ</t>
  </si>
  <si>
    <t xml:space="preserve">02</t>
  </si>
  <si>
    <t xml:space="preserve">KULTURNÍ</t>
  </si>
  <si>
    <t xml:space="preserve">03</t>
  </si>
  <si>
    <t xml:space="preserve">NÁVŠTĚVA RODINY NEBO PŘÁTEL</t>
  </si>
  <si>
    <t xml:space="preserve">04</t>
  </si>
  <si>
    <t xml:space="preserve">POZVÁNÍ</t>
  </si>
  <si>
    <t xml:space="preserve">05</t>
  </si>
  <si>
    <t xml:space="preserve">OFICIÁLNÍ (POLITICKÝ)</t>
  </si>
  <si>
    <t xml:space="preserve">06</t>
  </si>
  <si>
    <t xml:space="preserve">PODNIKÁNÍ - OSVČ</t>
  </si>
  <si>
    <t xml:space="preserve">07</t>
  </si>
  <si>
    <t xml:space="preserve">SPORTOVNÍ</t>
  </si>
  <si>
    <t xml:space="preserve">TURISTIKA</t>
  </si>
  <si>
    <t xml:space="preserve">11</t>
  </si>
  <si>
    <t xml:space="preserve">STUDIUM (ŠKOLENÍ, STÁŽ)</t>
  </si>
  <si>
    <t xml:space="preserve">12</t>
  </si>
  <si>
    <t xml:space="preserve">TRANZIT (průjezd)</t>
  </si>
  <si>
    <t xml:space="preserve">13</t>
  </si>
  <si>
    <t xml:space="preserve">LETIŠTNÍ TRANZIT (letištní průjezd)</t>
  </si>
  <si>
    <t xml:space="preserve">27</t>
  </si>
  <si>
    <t xml:space="preserve">ZAMĚSTNÁNÍ</t>
  </si>
  <si>
    <t xml:space="preserve">Tzv. ADS vízum udělované občanu Číny</t>
  </si>
  <si>
    <t xml:space="preserve">99</t>
  </si>
  <si>
    <t xml:space="preserve">OSTATNÍ / JINÉ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</si>
</sst>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"/>
    <numFmt numFmtId="166" formatCode="@"/>
    <numFmt numFmtId="167" formatCode="[$-409]m/d/yyyy"/>
    <numFmt numFmtId="168" formatCode="000\ 00"/>
    <numFmt numFmtId="169" formatCode="dd\.mm\.yyyy"/>
  </numFmts>
  <fonts count="14">
    <font>
      <sz val="10"/>
      <name val="Arial CE"/>
      <family val="0"/>
      <charset val="238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2"/>
    </font>
    <font>
      <sz val="10"/>
      <name val="Tahoma"/>
      <family val="2"/>
    </font>
    <font>
      <b val="true"/>
      <sz val="12"/>
      <name val="Arial"/>
      <family val="2"/>
      <charset val="238"/>
    </font>
    <font>
      <b val="true"/>
      <sz val="12"/>
      <name val="Arial"/>
      <family val="2"/>
    </font>
    <font>
      <sz val="12"/>
      <name val="Arial"/>
      <family val="2"/>
      <charset val="238"/>
    </font>
    <font>
      <b val="true"/>
      <sz val="12"/>
      <name val="Tahoma"/>
      <family val="2"/>
    </font>
    <font>
      <b val="true"/>
      <sz val="10"/>
      <name val="Tahoma"/>
      <family val="2"/>
    </font>
    <font>
      <sz val="10"/>
      <name val="Tahoma"/>
      <family val="2"/>
      <charset val="238"/>
    </font>
    <font>
      <sz val="10"/>
      <name val="Arial"/>
      <family val="2"/>
    </font>
    <font>
      <b val="true"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0C0C0"/>
        <bgColor rgb="FFCCCCFF"/>
      </patternFill>
    </fill>
    <fill>
      <patternFill patternType="solid">
        <fgColor rgb="FFFFFFFF"/>
        <bgColor rgb="FFFFFFCC"/>
      </patternFill>
    </fill>
  </fills>
  <borders count="8">
    <border diagonalUp="false" diagonalDown="false">
      <left/>
      <right/>
      <top/>
      <bottom/>
      <diagonal/>
    </border>
    <border diagonalUp="false" diagonalDown="false">
      <left style="thin">
        <color rgb="FFFFFFFF"/>
      </left>
      <right style="thin">
        <color rgb="FF333333"/>
      </right>
      <top style="thin">
        <color rgb="FFFFFFFF"/>
      </top>
      <bottom/>
      <diagonal/>
    </border>
    <border diagonalUp="false" diagonalDown="false">
      <left style="thin">
        <color rgb="FFFFFFFF"/>
      </left>
      <right/>
      <top/>
      <bottom/>
      <diagonal/>
    </border>
    <border diagonalUp="false" diagonalDown="false">
      <left/>
      <right style="thin">
        <color rgb="FF333333"/>
      </right>
      <top/>
      <bottom/>
      <diagonal/>
    </border>
    <border diagonalUp="false" diagonalDown="false">
      <left style="thin">
        <color rgb="FFFFFFFF"/>
      </left>
      <right/>
      <top/>
      <bottom style="thin">
        <color rgb="FF333333"/>
      </bottom>
      <diagonal/>
    </border>
    <border diagonalUp="false" diagonalDown="false">
      <left/>
      <right/>
      <top/>
      <bottom style="thin">
        <color rgb="FF333333"/>
      </bottom>
      <diagonal/>
    </border>
    <border diagonalUp="false" diagonalDown="false">
      <left/>
      <right style="thin">
        <color rgb="FF333333"/>
      </right>
      <top/>
      <bottom style="thin">
        <color rgb="FF333333"/>
      </bottom>
      <diagonal/>
    </border>
    <border diagonalUp="false" diagonalDown="false">
      <left style="thin"/>
      <right style="thin"/>
      <top style="thin"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4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3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10" fillId="2" borderId="0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5" fillId="2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0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5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9" fillId="2" borderId="0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6" fontId="5" fillId="3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6" fontId="5" fillId="3" borderId="0" xfId="0" applyFont="true" applyBorder="true" applyAlignment="true" applyProtection="true">
      <alignment horizontal="left" vertical="bottom" textRotation="0" wrapText="true" indent="0" shrinkToFit="false"/>
      <protection locked="false" hidden="false"/>
    </xf>
    <xf numFmtId="166" fontId="5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5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3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7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5" fillId="3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5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5" fillId="3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7" fontId="5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4" fontId="5" fillId="0" borderId="0" xfId="0" applyFont="true" applyBorder="false" applyAlignment="true" applyProtection="true">
      <alignment horizontal="left" vertical="bottom" textRotation="0" wrapText="false" indent="0" shrinkToFit="false"/>
      <protection locked="true" hidden="true"/>
    </xf>
    <xf numFmtId="164" fontId="5" fillId="2" borderId="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6" fontId="5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6" fontId="12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12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6" fontId="12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6" fontId="12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6" fontId="13" fillId="2" borderId="7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7" fontId="13" fillId="2" borderId="7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6" fontId="13" fillId="2" borderId="7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6" fontId="12" fillId="2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6" fontId="13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ální 2" xfId="20"/>
  </cellStyles>
  <dxfs count="2">
    <dxf>
      <fill>
        <patternFill patternType="solid">
          <fgColor rgb="FFC0C0C0"/>
          <bgColor rgb="FF000000"/>
        </patternFill>
      </fill>
    </dxf>
    <dxf>
      <fill>
        <patternFill patternType="solid">
          <bgColor rgb="FF000000"/>
        </patternFill>
      </fill>
    </dxf>
  </dxf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L4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33" activeCellId="0" sqref="H33"/>
    </sheetView>
  </sheetViews>
  <sheetFormatPr defaultColWidth="9.13671875" defaultRowHeight="12.75" customHeight="true" zeroHeight="false" outlineLevelRow="0" outlineLevelCol="0"/>
  <cols>
    <col collapsed="false" customWidth="false" hidden="false" outlineLevel="0" max="1" min="1" style="1" width="9.14"/>
    <col collapsed="false" customWidth="true" hidden="false" outlineLevel="0" max="2" min="2" style="2" width="22.14"/>
    <col collapsed="false" customWidth="true" hidden="false" outlineLevel="0" max="3" min="3" style="2" width="0.99"/>
    <col collapsed="false" customWidth="true" hidden="false" outlineLevel="0" max="4" min="4" style="2" width="61.56"/>
    <col collapsed="false" customWidth="true" hidden="false" outlineLevel="0" max="5" min="5" style="1" width="2.28"/>
    <col collapsed="false" customWidth="true" hidden="false" outlineLevel="0" max="6" min="6" style="1" width="0.13"/>
    <col collapsed="false" customWidth="false" hidden="false" outlineLevel="0" max="7" min="7" style="1" width="9.14"/>
    <col collapsed="false" customWidth="true" hidden="false" outlineLevel="0" max="8" min="8" style="1" width="11.13"/>
    <col collapsed="false" customWidth="false" hidden="false" outlineLevel="0" max="257" min="9" style="1" width="9.14"/>
  </cols>
  <sheetData>
    <row r="1" customFormat="false" ht="27.75" hidden="false" customHeight="true" outlineLevel="0" collapsed="false"/>
    <row r="2" customFormat="false" ht="21" hidden="false" customHeight="true" outlineLevel="0" collapsed="false">
      <c r="B2" s="3" t="s">
        <v>0</v>
      </c>
      <c r="C2" s="3"/>
      <c r="D2" s="3"/>
      <c r="E2" s="3"/>
      <c r="F2" s="3"/>
    </row>
    <row r="3" customFormat="false" ht="21" hidden="false" customHeight="true" outlineLevel="0" collapsed="false">
      <c r="B3" s="4"/>
      <c r="C3" s="5"/>
      <c r="D3" s="5"/>
      <c r="E3" s="5"/>
      <c r="F3" s="6"/>
    </row>
    <row r="4" customFormat="false" ht="12.75" hidden="false" customHeight="true" outlineLevel="0" collapsed="false">
      <c r="B4" s="7" t="s">
        <v>1</v>
      </c>
      <c r="C4" s="8"/>
      <c r="D4" s="9" t="n">
        <v>100363080249</v>
      </c>
      <c r="E4" s="10" t="e">
        <f aca="false">checkidub(idub)</f>
        <v>#VALUE!</v>
      </c>
      <c r="F4" s="6"/>
    </row>
    <row r="5" customFormat="false" ht="5.1" hidden="false" customHeight="true" outlineLevel="0" collapsed="false">
      <c r="B5" s="7"/>
      <c r="C5" s="11"/>
      <c r="D5" s="11"/>
      <c r="E5" s="12"/>
      <c r="F5" s="13"/>
    </row>
    <row r="6" customFormat="false" ht="12.75" hidden="false" customHeight="true" outlineLevel="0" collapsed="false">
      <c r="B6" s="7" t="s">
        <v>2</v>
      </c>
      <c r="C6" s="8"/>
      <c r="D6" s="14" t="s">
        <v>3</v>
      </c>
      <c r="E6" s="15"/>
      <c r="F6" s="6"/>
    </row>
    <row r="7" customFormat="false" ht="5.1" hidden="false" customHeight="true" outlineLevel="0" collapsed="false">
      <c r="B7" s="7"/>
      <c r="C7" s="11"/>
      <c r="D7" s="11"/>
      <c r="E7" s="12"/>
      <c r="F7" s="13"/>
    </row>
    <row r="8" customFormat="false" ht="12.75" hidden="false" customHeight="false" outlineLevel="0" collapsed="false">
      <c r="B8" s="7" t="s">
        <v>4</v>
      </c>
      <c r="C8" s="11"/>
      <c r="D8" s="16" t="s">
        <v>5</v>
      </c>
      <c r="E8" s="12"/>
      <c r="F8" s="13"/>
    </row>
    <row r="9" customFormat="false" ht="5.1" hidden="false" customHeight="true" outlineLevel="0" collapsed="false">
      <c r="B9" s="7"/>
      <c r="C9" s="11"/>
      <c r="D9" s="11"/>
      <c r="E9" s="12"/>
      <c r="F9" s="13"/>
    </row>
    <row r="10" customFormat="false" ht="12.75" hidden="false" customHeight="false" outlineLevel="0" collapsed="false">
      <c r="B10" s="7" t="s">
        <v>6</v>
      </c>
      <c r="C10" s="11"/>
      <c r="D10" s="17" t="s">
        <v>7</v>
      </c>
      <c r="E10" s="12"/>
      <c r="F10" s="13"/>
    </row>
    <row r="11" customFormat="false" ht="5.1" hidden="false" customHeight="true" outlineLevel="0" collapsed="false">
      <c r="B11" s="7"/>
      <c r="C11" s="11"/>
      <c r="D11" s="18"/>
      <c r="E11" s="12"/>
      <c r="F11" s="13"/>
    </row>
    <row r="12" customFormat="false" ht="12.75" hidden="false" customHeight="false" outlineLevel="0" collapsed="false">
      <c r="B12" s="7" t="s">
        <v>8</v>
      </c>
      <c r="C12" s="11"/>
      <c r="D12" s="16" t="s">
        <v>9</v>
      </c>
      <c r="E12" s="12"/>
      <c r="F12" s="13"/>
    </row>
    <row r="13" customFormat="false" ht="5.1" hidden="false" customHeight="true" outlineLevel="0" collapsed="false">
      <c r="B13" s="7"/>
      <c r="C13" s="11"/>
      <c r="D13" s="18"/>
      <c r="E13" s="12"/>
      <c r="F13" s="13"/>
    </row>
    <row r="14" customFormat="false" ht="12.75" hidden="false" customHeight="false" outlineLevel="0" collapsed="false">
      <c r="B14" s="7" t="s">
        <v>10</v>
      </c>
      <c r="C14" s="11"/>
      <c r="D14" s="16" t="s">
        <v>9</v>
      </c>
      <c r="E14" s="12"/>
      <c r="F14" s="13"/>
    </row>
    <row r="15" customFormat="false" ht="5.1" hidden="false" customHeight="true" outlineLevel="0" collapsed="false">
      <c r="B15" s="7"/>
      <c r="C15" s="11"/>
      <c r="D15" s="18"/>
      <c r="E15" s="12"/>
      <c r="F15" s="13"/>
    </row>
    <row r="16" customFormat="false" ht="12.75" hidden="false" customHeight="false" outlineLevel="0" collapsed="false">
      <c r="B16" s="7" t="s">
        <v>11</v>
      </c>
      <c r="C16" s="11"/>
      <c r="D16" s="16" t="s">
        <v>12</v>
      </c>
      <c r="E16" s="12"/>
      <c r="F16" s="13"/>
    </row>
    <row r="17" customFormat="false" ht="5.1" hidden="false" customHeight="true" outlineLevel="0" collapsed="false">
      <c r="B17" s="7"/>
      <c r="C17" s="11"/>
      <c r="D17" s="18"/>
      <c r="E17" s="12"/>
      <c r="F17" s="13"/>
    </row>
    <row r="18" customFormat="false" ht="12.75" hidden="false" customHeight="false" outlineLevel="0" collapsed="false">
      <c r="B18" s="7" t="s">
        <v>13</v>
      </c>
      <c r="C18" s="11"/>
      <c r="D18" s="16" t="s">
        <v>14</v>
      </c>
      <c r="E18" s="12"/>
      <c r="F18" s="13"/>
    </row>
    <row r="19" customFormat="false" ht="5.1" hidden="false" customHeight="true" outlineLevel="0" collapsed="false">
      <c r="B19" s="7"/>
      <c r="C19" s="11"/>
      <c r="D19" s="18"/>
      <c r="E19" s="12"/>
      <c r="F19" s="13"/>
    </row>
    <row r="20" customFormat="false" ht="12.75" hidden="false" customHeight="false" outlineLevel="0" collapsed="false">
      <c r="B20" s="7" t="s">
        <v>15</v>
      </c>
      <c r="C20" s="11"/>
      <c r="D20" s="9" t="n">
        <v>65</v>
      </c>
      <c r="E20" s="12" t="e">
        <f aca="false">checkcd(cd)</f>
        <v>#VALUE!</v>
      </c>
      <c r="F20" s="13"/>
    </row>
    <row r="21" customFormat="false" ht="5.1" hidden="false" customHeight="true" outlineLevel="0" collapsed="false">
      <c r="B21" s="7"/>
      <c r="C21" s="11"/>
      <c r="D21" s="19"/>
      <c r="E21" s="12"/>
      <c r="F21" s="13"/>
    </row>
    <row r="22" customFormat="false" ht="12.75" hidden="false" customHeight="false" outlineLevel="0" collapsed="false">
      <c r="B22" s="7" t="s">
        <v>16</v>
      </c>
      <c r="C22" s="11"/>
      <c r="D22" s="20" t="n">
        <v>1</v>
      </c>
      <c r="E22" s="12" t="e">
        <f aca="false">checkcor(cor)</f>
        <v>#VALUE!</v>
      </c>
      <c r="F22" s="13"/>
      <c r="H22" s="21"/>
    </row>
    <row r="23" customFormat="false" ht="5.1" hidden="false" customHeight="true" outlineLevel="0" collapsed="false">
      <c r="B23" s="7"/>
      <c r="C23" s="11"/>
      <c r="D23" s="22"/>
      <c r="E23" s="12"/>
      <c r="F23" s="13"/>
    </row>
    <row r="24" customFormat="false" ht="12.75" hidden="false" customHeight="false" outlineLevel="0" collapsed="false">
      <c r="B24" s="7" t="s">
        <v>17</v>
      </c>
      <c r="C24" s="11"/>
      <c r="D24" s="23" t="n">
        <v>14021</v>
      </c>
      <c r="E24" s="12"/>
      <c r="F24" s="13"/>
    </row>
    <row r="25" customFormat="false" ht="25.5" hidden="false" customHeight="true" outlineLevel="0" collapsed="false">
      <c r="B25" s="7"/>
      <c r="C25" s="11"/>
      <c r="D25" s="22"/>
      <c r="E25" s="24"/>
      <c r="F25" s="13"/>
    </row>
    <row r="26" customFormat="false" ht="12.75" hidden="false" customHeight="false" outlineLevel="0" collapsed="false">
      <c r="B26" s="7" t="s">
        <v>18</v>
      </c>
      <c r="C26" s="11"/>
      <c r="D26" s="25" t="n">
        <v>42736</v>
      </c>
      <c r="E26" s="24"/>
      <c r="F26" s="13"/>
    </row>
    <row r="27" customFormat="false" ht="5.1" hidden="false" customHeight="true" outlineLevel="0" collapsed="false">
      <c r="B27" s="7"/>
      <c r="C27" s="11"/>
      <c r="D27" s="26"/>
      <c r="E27" s="24"/>
      <c r="F27" s="13"/>
    </row>
    <row r="28" customFormat="false" ht="12.75" hidden="false" customHeight="false" outlineLevel="0" collapsed="false">
      <c r="B28" s="7" t="s">
        <v>19</v>
      </c>
      <c r="C28" s="11"/>
      <c r="D28" s="25" t="n">
        <v>47149</v>
      </c>
      <c r="E28" s="24"/>
      <c r="F28" s="13"/>
      <c r="L28" s="27"/>
    </row>
    <row r="29" customFormat="false" ht="12.75" hidden="false" customHeight="false" outlineLevel="0" collapsed="false">
      <c r="B29" s="7"/>
      <c r="C29" s="11"/>
      <c r="D29" s="11"/>
      <c r="E29" s="24"/>
      <c r="F29" s="13"/>
    </row>
    <row r="30" customFormat="false" ht="12.75" hidden="false" customHeight="false" outlineLevel="0" collapsed="false">
      <c r="B30" s="7" t="s">
        <v>20</v>
      </c>
      <c r="C30" s="11"/>
      <c r="D30" s="28" t="str">
        <f aca="false">IF(ifname=0,"",ifname)</f>
        <v>O:\130-recepce\recepce\Opera export\prgnp_police_export_new78922008.unl</v>
      </c>
      <c r="E30" s="24"/>
      <c r="F30" s="13"/>
    </row>
    <row r="31" customFormat="false" ht="5.1" hidden="false" customHeight="true" outlineLevel="0" collapsed="false">
      <c r="B31" s="7"/>
      <c r="C31" s="11"/>
      <c r="D31" s="26"/>
      <c r="E31" s="24"/>
      <c r="F31" s="13"/>
    </row>
    <row r="32" customFormat="false" ht="12.75" hidden="false" customHeight="false" outlineLevel="0" collapsed="false">
      <c r="B32" s="7" t="s">
        <v>21</v>
      </c>
      <c r="C32" s="11"/>
      <c r="D32" s="29" t="str">
        <f aca="false">IF(crtime=0,"",crtime)</f>
        <v>2025.06.21 01:47:43</v>
      </c>
      <c r="E32" s="24"/>
      <c r="F32" s="13"/>
      <c r="L32" s="27"/>
    </row>
    <row r="33" customFormat="false" ht="26.25" hidden="false" customHeight="true" outlineLevel="0" collapsed="false">
      <c r="B33" s="7"/>
      <c r="C33" s="11"/>
      <c r="D33" s="11"/>
      <c r="E33" s="24"/>
      <c r="F33" s="13"/>
    </row>
    <row r="34" customFormat="false" ht="28.5" hidden="false" customHeight="true" outlineLevel="0" collapsed="false">
      <c r="B34" s="7"/>
      <c r="C34" s="11"/>
      <c r="D34" s="11"/>
      <c r="E34" s="24"/>
      <c r="F34" s="13"/>
    </row>
    <row r="35" customFormat="false" ht="12.75" hidden="false" customHeight="false" outlineLevel="0" collapsed="false">
      <c r="B35" s="7"/>
      <c r="C35" s="11"/>
      <c r="D35" s="11"/>
      <c r="E35" s="24"/>
      <c r="F35" s="13"/>
    </row>
    <row r="36" customFormat="false" ht="12.75" hidden="false" customHeight="false" outlineLevel="0" collapsed="false">
      <c r="B36" s="7"/>
      <c r="C36" s="11"/>
      <c r="D36" s="11"/>
      <c r="E36" s="24"/>
      <c r="F36" s="13"/>
    </row>
    <row r="37" customFormat="false" ht="12.75" hidden="false" customHeight="false" outlineLevel="0" collapsed="false">
      <c r="B37" s="30"/>
      <c r="C37" s="31"/>
      <c r="D37" s="31"/>
      <c r="E37" s="32"/>
      <c r="F37" s="33"/>
    </row>
    <row r="39" customFormat="false" ht="12.75" hidden="true" customHeight="false" outlineLevel="0" collapsed="false"/>
    <row r="40" customFormat="false" ht="14.25" hidden="true" customHeight="true" outlineLevel="0" collapsed="false"/>
    <row r="41" customFormat="false" ht="12.75" hidden="true" customHeight="false" outlineLevel="0" collapsed="false">
      <c r="B41" s="34" t="s">
        <v>22</v>
      </c>
    </row>
    <row r="42" customFormat="false" ht="12.75" hidden="true" customHeight="false" outlineLevel="0" collapsed="false">
      <c r="B42" s="34" t="s">
        <v>23</v>
      </c>
    </row>
    <row r="43" customFormat="false" ht="12.75" hidden="true" customHeight="false" outlineLevel="0" collapsed="false">
      <c r="B43" s="35" t="s">
        <v>24</v>
      </c>
    </row>
    <row r="44" customFormat="false" ht="12.75" hidden="true" customHeight="false" outlineLevel="0" collapsed="false">
      <c r="B44" s="35" t="s">
        <v>25</v>
      </c>
    </row>
    <row r="45" customFormat="false" ht="12.75" hidden="true" customHeight="false" outlineLevel="0" collapsed="false"/>
  </sheetData>
  <sheetProtection sheet="true" password="d8af" objects="true" scenarios="true"/>
  <mergeCells count="1">
    <mergeCell ref="B2:F2"/>
  </mergeCells>
  <dataValidations count="15">
    <dataValidation allowBlank="true" errorStyle="stop" operator="between" showDropDown="false" showErrorMessage="true" showInputMessage="false" sqref="D27 D31" type="date">
      <formula1>37987</formula1>
      <formula2>43831</formula2>
    </dataValidation>
    <dataValidation allowBlank="false" errorStyle="stop" operator="between" showDropDown="false" showErrorMessage="true" showInputMessage="false" sqref="D21" type="whole">
      <formula1>1</formula1>
      <formula2>9999</formula2>
    </dataValidation>
    <dataValidation allowBlank="false" errorStyle="stop" operator="greaterThan" showDropDown="false" showErrorMessage="true" showInputMessage="false" sqref="D13 D15 D17" type="textLength">
      <formula1>1</formula1>
      <formula2>0</formula2>
    </dataValidation>
    <dataValidation allowBlank="true" errorStyle="stop" operator="greaterThanOrEqual" prompt="Konec intervalu povoleného data ubytování. Slouží pro kontrolu vkládaných dat.&#10;Musí být vyšší, než počátek intervalu." promptTitle="Období do" showDropDown="false" showErrorMessage="true" showInputMessage="true" sqref="D28" type="date">
      <formula1>D26</formula1>
      <formula2>0</formula2>
    </dataValidation>
    <dataValidation allowBlank="false" error="Povinný údaj." errorStyle="stop" errorTitle="Identifikátor ubytovatele" operator="between" prompt="Zadejte přidělený identifikátor." promptTitle="Identifikátor ubytovatele" showDropDown="false" showErrorMessage="true" showInputMessage="true" sqref="D4" type="textLength">
      <formula1>2</formula1>
      <formula2>14</formula2>
    </dataValidation>
    <dataValidation allowBlank="true" error="Nesprávný počet znaků." errorStyle="stop" operator="between" prompt="Uveďte i telefon popř. e-mail. &#10;Maximální dálka 50 znaků." promptTitle="Kontaktní osoba" showDropDown="false" showErrorMessage="true" showInputMessage="true" sqref="D10" type="textLength">
      <formula1>1</formula1>
      <formula2>50</formula2>
    </dataValidation>
    <dataValidation allowBlank="false" error="Povinný údaj." errorStyle="stop" errorTitle="Název ubytovatele" operator="between" prompt="Zadejte název ubytovatele. Maximální délka je 35 znaků." promptTitle="Název ubytovatele" showDropDown="false" showErrorMessage="true" showInputMessage="true" sqref="D8" type="textLength">
      <formula1>1</formula1>
      <formula2>35</formula2>
    </dataValidation>
    <dataValidation allowBlank="false" error="Povinný údaj." errorStyle="stop" errorTitle="Okres" operator="between" prompt="Zadejte název okresu." promptTitle="Okres" showDropDown="false" showErrorMessage="true" showInputMessage="true" sqref="D12" type="textLength">
      <formula1>4</formula1>
      <formula2>32</formula2>
    </dataValidation>
    <dataValidation allowBlank="false" error="Povinný údaj." errorStyle="stop" errorTitle="Obec" operator="between" prompt="Zadejte název obce." promptTitle="Obec" showDropDown="false" showErrorMessage="true" showInputMessage="true" sqref="D14" type="textLength">
      <formula1>2</formula1>
      <formula2>48</formula2>
    </dataValidation>
    <dataValidation allowBlank="false" error="Povinný údaj." errorStyle="stop" errorTitle="Část obce" operator="between" prompt="Zadejte název části obce." promptTitle="Část obce" showDropDown="false" showErrorMessage="true" showInputMessage="true" sqref="D16" type="textLength">
      <formula1>2</formula1>
      <formula2>48</formula2>
    </dataValidation>
    <dataValidation allowBlank="true" errorStyle="stop" operator="between" prompt="Zadejte název veřejného prostranství (ulice, náměstí, ...)" promptTitle="Ulice" showDropDown="false" showErrorMessage="true" showInputMessage="true" sqref="D18" type="textLength">
      <formula1>2</formula1>
      <formula2>48</formula2>
    </dataValidation>
    <dataValidation allowBlank="false" error="Povinný údaj." errorStyle="stop" errorTitle="Domovní číslo" operator="between" prompt="Zadejte číslo popisné (hodnoty 1 až 9999), nebo číslo evidenční (hodnoty 1E až 9999E)." promptTitle="Domovní číslo" showDropDown="false" showErrorMessage="true" showInputMessage="true" sqref="D20" type="textLength">
      <formula1>1</formula1>
      <formula2>5</formula2>
    </dataValidation>
    <dataValidation allowBlank="true" errorStyle="stop" operator="between" prompt="Zadejte číslo orientační v rozsahu 1 až 999 případně doplněné znakem čísla orientačního (písmeno a až z)." promptTitle="Orientační číslo" showDropDown="false" showErrorMessage="true" showInputMessage="true" sqref="D22" type="textLength">
      <formula1>1</formula1>
      <formula2>4</formula2>
    </dataValidation>
    <dataValidation allowBlank="true" errorStyle="stop" operator="between" prompt="Zadejte pětimístné doručovací poštovní směrovací číslo." promptTitle="PSČ" showDropDown="false" showErrorMessage="true" showInputMessage="true" sqref="D24" type="whole">
      <formula1>10000</formula1>
      <formula2>99999</formula2>
    </dataValidation>
    <dataValidation allowBlank="true" errorStyle="stop" operator="between" prompt="Počátek intervalu povoleného data ubytování. Slouží pro kontrolu vkládaných dat." promptTitle="Období od" showDropDown="false" showErrorMessage="true" showInputMessage="true" sqref="D26" type="date">
      <formula1>DATE(2004,1,1)</formula1>
      <formula2>DATE(2020,1,1)</formula2>
    </dataValidation>
  </dataValidations>
  <printOptions headings="false" gridLines="false" gridLinesSet="true" horizontalCentered="false" verticalCentered="false"/>
  <pageMargins left="0.7875" right="0.7875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IW106"/>
  <sheetViews>
    <sheetView showFormulas="false" showGridLines="true" showRowColHeaders="true" showZeros="true" rightToLeft="false" tabSelected="true" showOutlineSymbols="true" defaultGridColor="true" view="normal" topLeftCell="A1" colorId="64" zoomScale="90" zoomScaleNormal="90" zoomScalePageLayoutView="100" workbookViewId="0">
      <pane xSplit="0" ySplit="1" topLeftCell="A18" activePane="bottomLeft" state="frozen"/>
      <selection pane="topLeft" activeCell="A1" activeCellId="0" sqref="A1"/>
      <selection pane="bottomLeft" activeCell="A144" activeCellId="0" sqref="A144"/>
    </sheetView>
  </sheetViews>
  <sheetFormatPr defaultColWidth="9.13671875" defaultRowHeight="12.75" customHeight="true" zeroHeight="false" outlineLevelRow="0" outlineLevelCol="0"/>
  <cols>
    <col collapsed="false" customWidth="true" hidden="false" outlineLevel="0" max="1" min="1" style="36" width="2.7"/>
    <col collapsed="false" customWidth="true" hidden="false" outlineLevel="0" max="3" min="2" style="37" width="12.28"/>
    <col collapsed="false" customWidth="true" hidden="false" outlineLevel="0" max="5" min="4" style="38" width="29.13"/>
    <col collapsed="false" customWidth="true" hidden="false" outlineLevel="0" max="6" min="6" style="38" width="4.28"/>
    <col collapsed="false" customWidth="true" hidden="false" outlineLevel="0" max="7" min="7" style="37" width="11.13"/>
    <col collapsed="false" customWidth="true" hidden="true" outlineLevel="0" max="8" min="8" style="38" width="7.99"/>
    <col collapsed="false" customWidth="true" hidden="true" outlineLevel="0" max="9" min="9" style="38" width="0.41"/>
    <col collapsed="false" customWidth="true" hidden="false" outlineLevel="0" max="10" min="10" style="38" width="9.56"/>
    <col collapsed="false" customWidth="true" hidden="false" outlineLevel="0" max="11" min="11" style="38" width="56.56"/>
    <col collapsed="false" customWidth="true" hidden="false" outlineLevel="0" max="12" min="12" style="38" width="15.56"/>
    <col collapsed="false" customWidth="true" hidden="false" outlineLevel="0" max="13" min="13" style="38" width="25.56"/>
    <col collapsed="false" customWidth="true" hidden="false" outlineLevel="0" max="14" min="14" style="38" width="12.14"/>
    <col collapsed="false" customWidth="true" hidden="false" outlineLevel="0" max="15" min="15" style="38" width="0.13"/>
    <col collapsed="false" customWidth="true" hidden="false" outlineLevel="0" max="16" min="16" style="38" width="28.41"/>
    <col collapsed="false" customWidth="true" hidden="false" outlineLevel="0" max="17" min="17" style="39" width="3.28"/>
    <col collapsed="false" customWidth="true" hidden="false" outlineLevel="0" max="18" min="18" style="39" width="13.56"/>
    <col collapsed="false" customWidth="true" hidden="false" outlineLevel="0" max="19" min="19" style="39" width="7.7"/>
    <col collapsed="false" customWidth="true" hidden="false" outlineLevel="0" max="20" min="20" style="39" width="6.56"/>
    <col collapsed="false" customWidth="true" hidden="false" outlineLevel="0" max="21" min="21" style="39" width="5.85"/>
    <col collapsed="false" customWidth="false" hidden="false" outlineLevel="0" max="257" min="22" style="39" width="9.14"/>
  </cols>
  <sheetData>
    <row r="1" customFormat="false" ht="49.5" hidden="false" customHeight="true" outlineLevel="0" collapsed="false">
      <c r="A1" s="40" t="s">
        <v>26</v>
      </c>
      <c r="B1" s="41" t="s">
        <v>27</v>
      </c>
      <c r="C1" s="41" t="s">
        <v>28</v>
      </c>
      <c r="D1" s="42" t="s">
        <v>29</v>
      </c>
      <c r="E1" s="42" t="s">
        <v>30</v>
      </c>
      <c r="F1" s="42" t="s">
        <v>31</v>
      </c>
      <c r="G1" s="41" t="s">
        <v>32</v>
      </c>
      <c r="H1" s="42" t="s">
        <v>33</v>
      </c>
      <c r="I1" s="42" t="s">
        <v>34</v>
      </c>
      <c r="J1" s="42" t="s">
        <v>35</v>
      </c>
      <c r="K1" s="42" t="s">
        <v>36</v>
      </c>
      <c r="L1" s="42" t="s">
        <v>37</v>
      </c>
      <c r="M1" s="42" t="s">
        <v>38</v>
      </c>
      <c r="N1" s="43"/>
      <c r="O1" s="42" t="s">
        <v>39</v>
      </c>
      <c r="P1" s="42" t="s">
        <v>40</v>
      </c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  <c r="BM1" s="44"/>
      <c r="BN1" s="44"/>
      <c r="BO1" s="44"/>
      <c r="BP1" s="44"/>
      <c r="BQ1" s="44"/>
      <c r="BR1" s="44"/>
      <c r="BS1" s="44"/>
      <c r="BT1" s="44"/>
      <c r="BU1" s="44"/>
      <c r="BV1" s="44"/>
      <c r="BW1" s="44"/>
      <c r="BX1" s="44"/>
      <c r="BY1" s="44"/>
      <c r="BZ1" s="44"/>
      <c r="CA1" s="44"/>
      <c r="CB1" s="44"/>
      <c r="CC1" s="44"/>
      <c r="CD1" s="44"/>
      <c r="CE1" s="44"/>
      <c r="CF1" s="44"/>
      <c r="CG1" s="44"/>
      <c r="CH1" s="44"/>
      <c r="CI1" s="44"/>
      <c r="CJ1" s="44"/>
      <c r="CK1" s="44"/>
      <c r="CL1" s="44"/>
      <c r="CM1" s="44"/>
      <c r="CN1" s="44"/>
      <c r="CO1" s="44"/>
      <c r="CP1" s="44"/>
      <c r="CQ1" s="44"/>
      <c r="CR1" s="44"/>
      <c r="CS1" s="44"/>
      <c r="CT1" s="44"/>
      <c r="CU1" s="44"/>
      <c r="CV1" s="44"/>
      <c r="CW1" s="44"/>
      <c r="CX1" s="44"/>
      <c r="CY1" s="44"/>
      <c r="CZ1" s="44"/>
      <c r="DA1" s="44"/>
      <c r="DB1" s="44"/>
      <c r="DC1" s="44"/>
      <c r="DD1" s="44"/>
      <c r="DE1" s="44"/>
      <c r="DF1" s="44"/>
      <c r="DG1" s="44"/>
      <c r="DH1" s="44"/>
      <c r="DI1" s="44"/>
      <c r="DJ1" s="44"/>
      <c r="DK1" s="44"/>
      <c r="DL1" s="44"/>
      <c r="DM1" s="44"/>
      <c r="DN1" s="44"/>
      <c r="DO1" s="44"/>
      <c r="DP1" s="44"/>
      <c r="DQ1" s="44"/>
      <c r="DR1" s="44"/>
      <c r="DS1" s="44"/>
      <c r="DT1" s="44"/>
      <c r="DU1" s="44"/>
      <c r="DV1" s="44"/>
      <c r="DW1" s="44"/>
      <c r="DX1" s="44"/>
      <c r="DY1" s="44"/>
      <c r="DZ1" s="44"/>
      <c r="EA1" s="44"/>
      <c r="EB1" s="44"/>
      <c r="EC1" s="44"/>
      <c r="ED1" s="44"/>
      <c r="EE1" s="44"/>
      <c r="EF1" s="44"/>
      <c r="EG1" s="44"/>
      <c r="EH1" s="44"/>
      <c r="EI1" s="44"/>
      <c r="EJ1" s="44"/>
      <c r="EK1" s="44"/>
      <c r="EL1" s="44"/>
      <c r="EM1" s="44"/>
      <c r="EN1" s="44"/>
      <c r="EO1" s="44"/>
      <c r="EP1" s="44"/>
      <c r="EQ1" s="44"/>
      <c r="ER1" s="44"/>
      <c r="ES1" s="44"/>
      <c r="ET1" s="44"/>
      <c r="EU1" s="44"/>
      <c r="EV1" s="44"/>
      <c r="EW1" s="44"/>
      <c r="EX1" s="44"/>
      <c r="EY1" s="44"/>
      <c r="EZ1" s="44"/>
      <c r="FA1" s="44"/>
      <c r="FB1" s="44"/>
      <c r="FC1" s="44"/>
      <c r="FD1" s="44"/>
      <c r="FE1" s="44"/>
      <c r="FF1" s="44"/>
      <c r="FG1" s="44"/>
      <c r="FH1" s="44"/>
      <c r="FI1" s="44"/>
      <c r="FJ1" s="44"/>
      <c r="FK1" s="44"/>
      <c r="FL1" s="44"/>
      <c r="FM1" s="44"/>
      <c r="FN1" s="44"/>
      <c r="FO1" s="44"/>
      <c r="FP1" s="44"/>
      <c r="FQ1" s="44"/>
      <c r="FR1" s="44"/>
      <c r="FS1" s="44"/>
      <c r="FT1" s="44"/>
      <c r="FU1" s="44"/>
      <c r="FV1" s="44"/>
      <c r="FW1" s="44"/>
      <c r="FX1" s="44"/>
      <c r="FY1" s="44"/>
      <c r="FZ1" s="44"/>
      <c r="GA1" s="44"/>
      <c r="GB1" s="44"/>
      <c r="GC1" s="44"/>
      <c r="GD1" s="44"/>
      <c r="GE1" s="44"/>
      <c r="GF1" s="44"/>
      <c r="GG1" s="44"/>
      <c r="GH1" s="44"/>
      <c r="GI1" s="44"/>
      <c r="GJ1" s="44"/>
      <c r="GK1" s="44"/>
      <c r="GL1" s="44"/>
      <c r="GM1" s="44"/>
      <c r="GN1" s="44"/>
      <c r="GO1" s="44"/>
      <c r="GP1" s="44"/>
      <c r="GQ1" s="44"/>
      <c r="GR1" s="44"/>
      <c r="GS1" s="44"/>
      <c r="GT1" s="44"/>
      <c r="GU1" s="44"/>
      <c r="GV1" s="44"/>
      <c r="GW1" s="44"/>
      <c r="GX1" s="44"/>
      <c r="GY1" s="44"/>
      <c r="GZ1" s="44"/>
      <c r="HA1" s="44"/>
      <c r="HB1" s="44"/>
      <c r="HC1" s="44"/>
      <c r="HD1" s="44"/>
      <c r="HE1" s="44"/>
      <c r="HF1" s="44"/>
      <c r="HG1" s="44"/>
      <c r="HH1" s="44"/>
      <c r="HI1" s="44"/>
      <c r="HJ1" s="44"/>
      <c r="HK1" s="44"/>
      <c r="HL1" s="44"/>
      <c r="HM1" s="44"/>
      <c r="HN1" s="44"/>
      <c r="HO1" s="44"/>
      <c r="HP1" s="44"/>
      <c r="HQ1" s="44"/>
      <c r="HR1" s="44"/>
      <c r="HS1" s="44"/>
      <c r="HT1" s="44"/>
      <c r="HU1" s="44"/>
      <c r="HV1" s="44"/>
      <c r="HW1" s="44"/>
      <c r="HX1" s="44"/>
      <c r="HY1" s="44"/>
      <c r="HZ1" s="44"/>
      <c r="IA1" s="44"/>
      <c r="IB1" s="44"/>
      <c r="IC1" s="44"/>
      <c r="ID1" s="44"/>
      <c r="IE1" s="44"/>
      <c r="IF1" s="44"/>
      <c r="IG1" s="44"/>
      <c r="IH1" s="44"/>
      <c r="II1" s="44"/>
      <c r="IJ1" s="44"/>
      <c r="IK1" s="44"/>
      <c r="IL1" s="44"/>
      <c r="IM1" s="44"/>
      <c r="IN1" s="44"/>
      <c r="IO1" s="44"/>
      <c r="IP1" s="44"/>
      <c r="IQ1" s="44"/>
      <c r="IR1" s="44"/>
      <c r="IS1" s="44"/>
      <c r="IT1" s="44"/>
      <c r="IU1" s="44"/>
      <c r="IV1" s="44"/>
      <c r="IW1" s="44"/>
    </row>
    <row r="2" customFormat="false" ht="12.75" hidden="false" customHeight="false" outlineLevel="0" collapsed="false">
      <c r="B2" s="37" t="s">
        <v>41</v>
      </c>
      <c r="C2" s="37" t="s">
        <v>42</v>
      </c>
      <c r="D2" s="38" t="s">
        <v>43</v>
      </c>
      <c r="E2" s="38" t="s">
        <v>44</v>
      </c>
      <c r="G2" s="37" t="s">
        <v>45</v>
      </c>
      <c r="J2" s="38" t="s">
        <v>46</v>
      </c>
      <c r="K2" s="38" t="s">
        <v>47</v>
      </c>
      <c r="L2" s="38" t="s">
        <v>48</v>
      </c>
    </row>
    <row r="3" customFormat="false" ht="12.75" hidden="false" customHeight="false" outlineLevel="0" collapsed="false">
      <c r="B3" s="37" t="s">
        <v>41</v>
      </c>
      <c r="C3" s="37" t="s">
        <v>42</v>
      </c>
      <c r="D3" s="38" t="s">
        <v>49</v>
      </c>
      <c r="E3" s="38" t="s">
        <v>50</v>
      </c>
      <c r="G3" s="37" t="s">
        <v>51</v>
      </c>
      <c r="J3" s="38" t="s">
        <v>52</v>
      </c>
      <c r="K3" s="38" t="s">
        <v>53</v>
      </c>
      <c r="L3" s="38" t="s">
        <v>54</v>
      </c>
    </row>
    <row r="4" customFormat="false" ht="12.75" hidden="false" customHeight="false" outlineLevel="0" collapsed="false">
      <c r="B4" s="37" t="s">
        <v>41</v>
      </c>
      <c r="C4" s="37" t="s">
        <v>42</v>
      </c>
      <c r="D4" s="38" t="s">
        <v>55</v>
      </c>
      <c r="E4" s="38" t="s">
        <v>56</v>
      </c>
      <c r="G4" s="37" t="s">
        <v>57</v>
      </c>
      <c r="J4" s="38" t="s">
        <v>58</v>
      </c>
      <c r="K4" s="38" t="s">
        <v>59</v>
      </c>
      <c r="L4" s="38" t="s">
        <v>60</v>
      </c>
    </row>
    <row r="5" customFormat="false" ht="12.75" hidden="false" customHeight="false" outlineLevel="0" collapsed="false">
      <c r="B5" s="37" t="s">
        <v>41</v>
      </c>
      <c r="C5" s="37" t="s">
        <v>61</v>
      </c>
      <c r="D5" s="38" t="s">
        <v>62</v>
      </c>
      <c r="E5" s="38" t="s">
        <v>63</v>
      </c>
      <c r="G5" s="37" t="s">
        <v>64</v>
      </c>
      <c r="J5" s="38" t="s">
        <v>65</v>
      </c>
      <c r="K5" s="38" t="s">
        <v>66</v>
      </c>
      <c r="L5" s="38" t="s">
        <v>67</v>
      </c>
    </row>
    <row r="6" customFormat="false" ht="12.75" hidden="false" customHeight="false" outlineLevel="0" collapsed="false">
      <c r="B6" s="37" t="s">
        <v>41</v>
      </c>
      <c r="C6" s="37" t="s">
        <v>68</v>
      </c>
      <c r="D6" s="38" t="s">
        <v>69</v>
      </c>
      <c r="E6" s="38" t="s">
        <v>70</v>
      </c>
      <c r="G6" s="37" t="s">
        <v>71</v>
      </c>
      <c r="J6" s="38" t="s">
        <v>58</v>
      </c>
      <c r="K6" s="38" t="s">
        <v>72</v>
      </c>
      <c r="L6" s="38" t="s">
        <v>73</v>
      </c>
    </row>
    <row r="7" customFormat="false" ht="12.75" hidden="false" customHeight="false" outlineLevel="0" collapsed="false">
      <c r="B7" s="37" t="s">
        <v>41</v>
      </c>
      <c r="C7" s="37" t="s">
        <v>68</v>
      </c>
      <c r="D7" s="38" t="s">
        <v>74</v>
      </c>
      <c r="E7" s="38" t="s">
        <v>75</v>
      </c>
      <c r="G7" s="37" t="s">
        <v>76</v>
      </c>
      <c r="J7" s="38" t="s">
        <v>77</v>
      </c>
      <c r="L7" s="38" t="s">
        <v>78</v>
      </c>
    </row>
    <row r="8" customFormat="false" ht="12.75" hidden="false" customHeight="false" outlineLevel="0" collapsed="false">
      <c r="B8" s="37" t="s">
        <v>41</v>
      </c>
      <c r="C8" s="37" t="s">
        <v>42</v>
      </c>
      <c r="D8" s="38" t="s">
        <v>79</v>
      </c>
      <c r="E8" s="38" t="s">
        <v>80</v>
      </c>
      <c r="G8" s="37" t="s">
        <v>81</v>
      </c>
      <c r="J8" s="38" t="s">
        <v>82</v>
      </c>
      <c r="K8" s="38" t="s">
        <v>83</v>
      </c>
      <c r="L8" s="38" t="s">
        <v>84</v>
      </c>
    </row>
    <row r="9" customFormat="false" ht="12.75" hidden="false" customHeight="false" outlineLevel="0" collapsed="false">
      <c r="B9" s="37" t="s">
        <v>41</v>
      </c>
      <c r="C9" s="37" t="s">
        <v>42</v>
      </c>
      <c r="D9" s="38" t="s">
        <v>79</v>
      </c>
      <c r="E9" s="38" t="s">
        <v>80</v>
      </c>
      <c r="G9" s="37" t="s">
        <v>81</v>
      </c>
      <c r="J9" s="38" t="s">
        <v>82</v>
      </c>
      <c r="K9" s="38" t="s">
        <v>83</v>
      </c>
      <c r="L9" s="38" t="s">
        <v>84</v>
      </c>
    </row>
    <row r="10" customFormat="false" ht="12.75" hidden="false" customHeight="false" outlineLevel="0" collapsed="false">
      <c r="B10" s="37" t="s">
        <v>41</v>
      </c>
      <c r="C10" s="37" t="s">
        <v>42</v>
      </c>
      <c r="D10" s="38" t="s">
        <v>85</v>
      </c>
      <c r="E10" s="38" t="s">
        <v>86</v>
      </c>
      <c r="G10" s="37" t="s">
        <v>87</v>
      </c>
      <c r="J10" s="38" t="s">
        <v>65</v>
      </c>
      <c r="K10" s="38" t="s">
        <v>88</v>
      </c>
      <c r="L10" s="38" t="s">
        <v>89</v>
      </c>
    </row>
    <row r="11" customFormat="false" ht="12.75" hidden="false" customHeight="false" outlineLevel="0" collapsed="false">
      <c r="B11" s="37" t="s">
        <v>41</v>
      </c>
      <c r="C11" s="37" t="s">
        <v>90</v>
      </c>
      <c r="D11" s="38" t="s">
        <v>91</v>
      </c>
      <c r="E11" s="38" t="s">
        <v>92</v>
      </c>
      <c r="G11" s="37" t="s">
        <v>93</v>
      </c>
      <c r="J11" s="38" t="s">
        <v>65</v>
      </c>
      <c r="K11" s="38" t="s">
        <v>94</v>
      </c>
      <c r="L11" s="38" t="s">
        <v>95</v>
      </c>
    </row>
    <row r="12" customFormat="false" ht="12.75" hidden="false" customHeight="false" outlineLevel="0" collapsed="false">
      <c r="B12" s="37" t="s">
        <v>41</v>
      </c>
      <c r="C12" s="37" t="s">
        <v>68</v>
      </c>
      <c r="D12" s="38" t="s">
        <v>96</v>
      </c>
      <c r="E12" s="38" t="s">
        <v>97</v>
      </c>
      <c r="G12" s="37" t="s">
        <v>98</v>
      </c>
      <c r="J12" s="38" t="s">
        <v>65</v>
      </c>
      <c r="K12" s="38" t="s">
        <v>99</v>
      </c>
      <c r="L12" s="38" t="s">
        <v>100</v>
      </c>
    </row>
    <row r="13" customFormat="false" ht="12.75" hidden="false" customHeight="false" outlineLevel="0" collapsed="false">
      <c r="B13" s="37" t="s">
        <v>41</v>
      </c>
      <c r="C13" s="37" t="s">
        <v>42</v>
      </c>
      <c r="D13" s="38" t="s">
        <v>101</v>
      </c>
      <c r="E13" s="38" t="s">
        <v>102</v>
      </c>
      <c r="G13" s="37" t="s">
        <v>103</v>
      </c>
      <c r="J13" s="38" t="s">
        <v>65</v>
      </c>
      <c r="K13" s="38" t="s">
        <v>104</v>
      </c>
      <c r="L13" s="38" t="s">
        <v>105</v>
      </c>
    </row>
    <row r="14" customFormat="false" ht="12.75" hidden="false" customHeight="false" outlineLevel="0" collapsed="false">
      <c r="B14" s="37" t="s">
        <v>41</v>
      </c>
      <c r="C14" s="37" t="s">
        <v>106</v>
      </c>
      <c r="D14" s="38" t="s">
        <v>107</v>
      </c>
      <c r="E14" s="38" t="s">
        <v>108</v>
      </c>
      <c r="G14" s="37" t="s">
        <v>109</v>
      </c>
      <c r="J14" s="38" t="s">
        <v>65</v>
      </c>
      <c r="K14" s="38" t="s">
        <v>110</v>
      </c>
      <c r="L14" s="38" t="s">
        <v>111</v>
      </c>
    </row>
    <row r="15" customFormat="false" ht="12.75" hidden="false" customHeight="false" outlineLevel="0" collapsed="false">
      <c r="B15" s="37" t="s">
        <v>41</v>
      </c>
      <c r="C15" s="37" t="s">
        <v>61</v>
      </c>
      <c r="D15" s="38" t="s">
        <v>112</v>
      </c>
      <c r="E15" s="38" t="s">
        <v>113</v>
      </c>
      <c r="G15" s="37" t="s">
        <v>114</v>
      </c>
      <c r="J15" s="38" t="s">
        <v>115</v>
      </c>
      <c r="K15" s="38" t="s">
        <v>116</v>
      </c>
      <c r="L15" s="38" t="s">
        <v>117</v>
      </c>
    </row>
    <row r="16" customFormat="false" ht="12.75" hidden="false" customHeight="false" outlineLevel="0" collapsed="false">
      <c r="B16" s="37" t="s">
        <v>41</v>
      </c>
      <c r="C16" s="37" t="s">
        <v>68</v>
      </c>
      <c r="D16" s="38" t="s">
        <v>118</v>
      </c>
      <c r="E16" s="38" t="s">
        <v>119</v>
      </c>
      <c r="G16" s="37" t="s">
        <v>120</v>
      </c>
      <c r="J16" s="38" t="s">
        <v>65</v>
      </c>
      <c r="K16" s="38" t="s">
        <v>121</v>
      </c>
      <c r="L16" s="38" t="s">
        <v>122</v>
      </c>
    </row>
    <row r="17" customFormat="false" ht="12.75" hidden="false" customHeight="false" outlineLevel="0" collapsed="false">
      <c r="B17" s="37" t="s">
        <v>41</v>
      </c>
      <c r="C17" s="37" t="s">
        <v>68</v>
      </c>
      <c r="D17" s="38" t="s">
        <v>123</v>
      </c>
      <c r="E17" s="38" t="s">
        <v>124</v>
      </c>
      <c r="G17" s="37" t="s">
        <v>125</v>
      </c>
      <c r="J17" s="38" t="s">
        <v>65</v>
      </c>
      <c r="K17" s="38" t="s">
        <v>66</v>
      </c>
      <c r="L17" s="38" t="s">
        <v>126</v>
      </c>
    </row>
    <row r="18" customFormat="false" ht="12.75" hidden="false" customHeight="false" outlineLevel="0" collapsed="false">
      <c r="B18" s="37" t="s">
        <v>41</v>
      </c>
      <c r="C18" s="37" t="s">
        <v>68</v>
      </c>
      <c r="D18" s="38" t="s">
        <v>123</v>
      </c>
      <c r="E18" s="38" t="s">
        <v>124</v>
      </c>
      <c r="G18" s="37" t="s">
        <v>125</v>
      </c>
      <c r="J18" s="38" t="s">
        <v>65</v>
      </c>
      <c r="K18" s="38" t="s">
        <v>66</v>
      </c>
      <c r="L18" s="38" t="s">
        <v>126</v>
      </c>
      <c r="N18" s="38" t="s">
        <v>127</v>
      </c>
    </row>
    <row r="19" customFormat="false" ht="12.75" hidden="false" customHeight="false" outlineLevel="0" collapsed="false">
      <c r="B19" s="37" t="s">
        <v>41</v>
      </c>
      <c r="C19" s="37" t="s">
        <v>68</v>
      </c>
      <c r="D19" s="38" t="s">
        <v>96</v>
      </c>
      <c r="E19" s="38" t="s">
        <v>128</v>
      </c>
      <c r="G19" s="37" t="s">
        <v>129</v>
      </c>
      <c r="J19" s="38" t="s">
        <v>65</v>
      </c>
      <c r="K19" s="38" t="s">
        <v>66</v>
      </c>
      <c r="L19" s="38" t="s">
        <v>130</v>
      </c>
    </row>
    <row r="20" customFormat="false" ht="12.75" hidden="false" customHeight="false" outlineLevel="0" collapsed="false">
      <c r="B20" s="37" t="s">
        <v>41</v>
      </c>
      <c r="C20" s="37" t="s">
        <v>68</v>
      </c>
      <c r="D20" s="38" t="s">
        <v>131</v>
      </c>
      <c r="E20" s="38" t="s">
        <v>132</v>
      </c>
      <c r="G20" s="37" t="s">
        <v>133</v>
      </c>
      <c r="J20" s="38" t="s">
        <v>134</v>
      </c>
      <c r="K20" s="38" t="s">
        <v>135</v>
      </c>
      <c r="L20" s="38" t="s">
        <v>136</v>
      </c>
    </row>
    <row r="21" customFormat="false" ht="12.75" hidden="false" customHeight="false" outlineLevel="0" collapsed="false">
      <c r="B21" s="37" t="s">
        <v>41</v>
      </c>
      <c r="C21" s="37" t="s">
        <v>68</v>
      </c>
      <c r="D21" s="38" t="s">
        <v>137</v>
      </c>
      <c r="E21" s="38" t="s">
        <v>138</v>
      </c>
      <c r="G21" s="37" t="s">
        <v>139</v>
      </c>
      <c r="J21" s="38" t="s">
        <v>140</v>
      </c>
      <c r="K21" s="38" t="s">
        <v>141</v>
      </c>
      <c r="L21" s="38" t="s">
        <v>142</v>
      </c>
    </row>
    <row r="22" customFormat="false" ht="12.75" hidden="false" customHeight="false" outlineLevel="0" collapsed="false">
      <c r="B22" s="37" t="s">
        <v>41</v>
      </c>
      <c r="C22" s="37" t="s">
        <v>42</v>
      </c>
      <c r="D22" s="38" t="s">
        <v>143</v>
      </c>
      <c r="E22" s="38" t="s">
        <v>144</v>
      </c>
      <c r="G22" s="37" t="s">
        <v>145</v>
      </c>
      <c r="J22" s="38" t="s">
        <v>146</v>
      </c>
      <c r="K22" s="38" t="s">
        <v>147</v>
      </c>
      <c r="L22" s="38" t="s">
        <v>148</v>
      </c>
    </row>
    <row r="23" customFormat="false" ht="12.75" hidden="false" customHeight="false" outlineLevel="0" collapsed="false">
      <c r="B23" s="37" t="s">
        <v>41</v>
      </c>
      <c r="C23" s="37" t="s">
        <v>61</v>
      </c>
      <c r="D23" s="38" t="s">
        <v>149</v>
      </c>
      <c r="E23" s="38" t="s">
        <v>150</v>
      </c>
      <c r="G23" s="37" t="s">
        <v>151</v>
      </c>
      <c r="J23" s="38" t="s">
        <v>65</v>
      </c>
      <c r="K23" s="38" t="s">
        <v>152</v>
      </c>
      <c r="L23" s="38" t="s">
        <v>153</v>
      </c>
    </row>
    <row r="24" customFormat="false" ht="12.75" hidden="false" customHeight="false" outlineLevel="0" collapsed="false">
      <c r="B24" s="37" t="s">
        <v>41</v>
      </c>
      <c r="C24" s="37" t="s">
        <v>61</v>
      </c>
      <c r="D24" s="38" t="s">
        <v>154</v>
      </c>
      <c r="E24" s="38" t="s">
        <v>155</v>
      </c>
      <c r="G24" s="37" t="s">
        <v>156</v>
      </c>
      <c r="J24" s="38" t="s">
        <v>65</v>
      </c>
      <c r="K24" s="38" t="s">
        <v>157</v>
      </c>
      <c r="L24" s="38" t="s">
        <v>158</v>
      </c>
    </row>
    <row r="25" customFormat="false" ht="12.75" hidden="false" customHeight="false" outlineLevel="0" collapsed="false">
      <c r="B25" s="37" t="s">
        <v>41</v>
      </c>
      <c r="C25" s="37" t="s">
        <v>42</v>
      </c>
      <c r="D25" s="38" t="s">
        <v>159</v>
      </c>
      <c r="E25" s="38" t="s">
        <v>160</v>
      </c>
      <c r="G25" s="37" t="s">
        <v>161</v>
      </c>
      <c r="J25" s="38" t="s">
        <v>162</v>
      </c>
      <c r="K25" s="38" t="s">
        <v>163</v>
      </c>
      <c r="L25" s="38" t="s">
        <v>164</v>
      </c>
    </row>
    <row r="26" customFormat="false" ht="12.75" hidden="false" customHeight="false" outlineLevel="0" collapsed="false">
      <c r="B26" s="37" t="s">
        <v>41</v>
      </c>
      <c r="C26" s="37" t="s">
        <v>42</v>
      </c>
      <c r="D26" s="38" t="s">
        <v>165</v>
      </c>
      <c r="E26" s="38" t="s">
        <v>166</v>
      </c>
      <c r="G26" s="37" t="s">
        <v>167</v>
      </c>
      <c r="J26" s="38" t="s">
        <v>162</v>
      </c>
      <c r="K26" s="38" t="s">
        <v>168</v>
      </c>
      <c r="L26" s="38" t="s">
        <v>169</v>
      </c>
    </row>
    <row r="27" customFormat="false" ht="12.75" hidden="false" customHeight="false" outlineLevel="0" collapsed="false">
      <c r="B27" s="37" t="s">
        <v>41</v>
      </c>
      <c r="C27" s="37" t="s">
        <v>61</v>
      </c>
      <c r="D27" s="38" t="s">
        <v>170</v>
      </c>
      <c r="E27" s="38" t="s">
        <v>171</v>
      </c>
      <c r="G27" s="37" t="s">
        <v>172</v>
      </c>
      <c r="J27" s="38" t="s">
        <v>115</v>
      </c>
      <c r="K27" s="38" t="s">
        <v>173</v>
      </c>
      <c r="L27" s="38" t="s">
        <v>174</v>
      </c>
    </row>
    <row r="28" customFormat="false" ht="12.75" hidden="false" customHeight="false" outlineLevel="0" collapsed="false">
      <c r="B28" s="37" t="s">
        <v>41</v>
      </c>
      <c r="C28" s="37" t="s">
        <v>42</v>
      </c>
      <c r="D28" s="38" t="s">
        <v>175</v>
      </c>
      <c r="E28" s="38" t="s">
        <v>176</v>
      </c>
      <c r="G28" s="37" t="s">
        <v>177</v>
      </c>
      <c r="J28" s="38" t="s">
        <v>162</v>
      </c>
      <c r="K28" s="38" t="s">
        <v>178</v>
      </c>
      <c r="L28" s="38" t="s">
        <v>179</v>
      </c>
    </row>
    <row r="29" customFormat="false" ht="12.75" hidden="false" customHeight="false" outlineLevel="0" collapsed="false">
      <c r="B29" s="37" t="s">
        <v>41</v>
      </c>
      <c r="C29" s="37" t="s">
        <v>42</v>
      </c>
      <c r="D29" s="38" t="s">
        <v>180</v>
      </c>
      <c r="E29" s="38" t="s">
        <v>181</v>
      </c>
      <c r="G29" s="37" t="s">
        <v>182</v>
      </c>
      <c r="J29" s="38" t="s">
        <v>162</v>
      </c>
      <c r="K29" s="38" t="s">
        <v>183</v>
      </c>
      <c r="L29" s="38" t="s">
        <v>184</v>
      </c>
    </row>
    <row r="30" customFormat="false" ht="12.75" hidden="false" customHeight="false" outlineLevel="0" collapsed="false">
      <c r="B30" s="37" t="s">
        <v>41</v>
      </c>
      <c r="C30" s="37" t="s">
        <v>61</v>
      </c>
      <c r="D30" s="38" t="s">
        <v>185</v>
      </c>
      <c r="E30" s="38" t="s">
        <v>186</v>
      </c>
      <c r="G30" s="37" t="s">
        <v>187</v>
      </c>
      <c r="J30" s="38" t="s">
        <v>77</v>
      </c>
      <c r="K30" s="38" t="s">
        <v>188</v>
      </c>
      <c r="L30" s="38" t="s">
        <v>189</v>
      </c>
    </row>
    <row r="31" customFormat="false" ht="12.75" hidden="false" customHeight="false" outlineLevel="0" collapsed="false">
      <c r="B31" s="37" t="s">
        <v>41</v>
      </c>
      <c r="C31" s="37" t="s">
        <v>61</v>
      </c>
      <c r="D31" s="38" t="s">
        <v>190</v>
      </c>
      <c r="E31" s="38" t="s">
        <v>191</v>
      </c>
      <c r="G31" s="37" t="s">
        <v>192</v>
      </c>
      <c r="J31" s="38" t="s">
        <v>77</v>
      </c>
      <c r="K31" s="38" t="s">
        <v>193</v>
      </c>
      <c r="L31" s="38" t="s">
        <v>194</v>
      </c>
    </row>
    <row r="32" customFormat="false" ht="12.75" hidden="false" customHeight="false" outlineLevel="0" collapsed="false">
      <c r="B32" s="37" t="s">
        <v>41</v>
      </c>
      <c r="C32" s="37" t="s">
        <v>90</v>
      </c>
      <c r="D32" s="38" t="s">
        <v>195</v>
      </c>
      <c r="E32" s="38" t="s">
        <v>196</v>
      </c>
      <c r="G32" s="37" t="s">
        <v>197</v>
      </c>
      <c r="J32" s="38" t="s">
        <v>65</v>
      </c>
      <c r="K32" s="38" t="s">
        <v>152</v>
      </c>
      <c r="L32" s="38" t="s">
        <v>198</v>
      </c>
    </row>
    <row r="33" customFormat="false" ht="12.75" hidden="false" customHeight="false" outlineLevel="0" collapsed="false">
      <c r="B33" s="37" t="s">
        <v>41</v>
      </c>
      <c r="C33" s="37" t="s">
        <v>42</v>
      </c>
      <c r="D33" s="38" t="s">
        <v>199</v>
      </c>
      <c r="E33" s="38" t="s">
        <v>200</v>
      </c>
      <c r="G33" s="37" t="s">
        <v>201</v>
      </c>
      <c r="J33" s="38" t="s">
        <v>65</v>
      </c>
      <c r="K33" s="38" t="s">
        <v>202</v>
      </c>
      <c r="L33" s="38" t="s">
        <v>203</v>
      </c>
    </row>
    <row r="34" customFormat="false" ht="12.75" hidden="false" customHeight="false" outlineLevel="0" collapsed="false">
      <c r="B34" s="37" t="s">
        <v>41</v>
      </c>
      <c r="C34" s="37" t="s">
        <v>42</v>
      </c>
      <c r="D34" s="38" t="s">
        <v>204</v>
      </c>
      <c r="E34" s="38" t="s">
        <v>205</v>
      </c>
      <c r="G34" s="37" t="s">
        <v>206</v>
      </c>
      <c r="J34" s="38" t="s">
        <v>207</v>
      </c>
      <c r="K34" s="38" t="s">
        <v>208</v>
      </c>
      <c r="L34" s="38" t="s">
        <v>209</v>
      </c>
    </row>
    <row r="35" customFormat="false" ht="12.75" hidden="false" customHeight="false" outlineLevel="0" collapsed="false">
      <c r="B35" s="37" t="s">
        <v>41</v>
      </c>
      <c r="C35" s="37" t="s">
        <v>42</v>
      </c>
      <c r="D35" s="38" t="s">
        <v>210</v>
      </c>
      <c r="E35" s="38" t="s">
        <v>211</v>
      </c>
      <c r="G35" s="37" t="s">
        <v>212</v>
      </c>
      <c r="J35" s="38" t="s">
        <v>207</v>
      </c>
      <c r="K35" s="38" t="s">
        <v>208</v>
      </c>
      <c r="L35" s="38" t="s">
        <v>213</v>
      </c>
    </row>
    <row r="36" customFormat="false" ht="12.75" hidden="false" customHeight="false" outlineLevel="0" collapsed="false">
      <c r="B36" s="37" t="s">
        <v>41</v>
      </c>
      <c r="C36" s="37" t="s">
        <v>42</v>
      </c>
      <c r="D36" s="38" t="s">
        <v>214</v>
      </c>
      <c r="E36" s="38" t="s">
        <v>215</v>
      </c>
      <c r="G36" s="37" t="s">
        <v>216</v>
      </c>
      <c r="J36" s="38" t="s">
        <v>207</v>
      </c>
      <c r="K36" s="38" t="s">
        <v>208</v>
      </c>
      <c r="L36" s="38" t="s">
        <v>217</v>
      </c>
    </row>
    <row r="37" customFormat="false" ht="12.75" hidden="false" customHeight="false" outlineLevel="0" collapsed="false">
      <c r="B37" s="37" t="s">
        <v>41</v>
      </c>
      <c r="C37" s="37" t="s">
        <v>42</v>
      </c>
      <c r="D37" s="38" t="s">
        <v>218</v>
      </c>
      <c r="E37" s="38" t="s">
        <v>219</v>
      </c>
      <c r="G37" s="37" t="s">
        <v>220</v>
      </c>
      <c r="J37" s="38" t="s">
        <v>207</v>
      </c>
      <c r="K37" s="38" t="s">
        <v>208</v>
      </c>
      <c r="L37" s="38" t="s">
        <v>221</v>
      </c>
    </row>
    <row r="38" customFormat="false" ht="12.75" hidden="false" customHeight="false" outlineLevel="0" collapsed="false">
      <c r="B38" s="37" t="s">
        <v>41</v>
      </c>
      <c r="C38" s="37" t="s">
        <v>42</v>
      </c>
      <c r="D38" s="38" t="s">
        <v>222</v>
      </c>
      <c r="E38" s="38" t="s">
        <v>223</v>
      </c>
      <c r="G38" s="37" t="s">
        <v>224</v>
      </c>
      <c r="J38" s="38" t="s">
        <v>207</v>
      </c>
      <c r="K38" s="38" t="s">
        <v>208</v>
      </c>
      <c r="L38" s="38" t="s">
        <v>225</v>
      </c>
    </row>
    <row r="39" customFormat="false" ht="12.75" hidden="false" customHeight="false" outlineLevel="0" collapsed="false">
      <c r="B39" s="37" t="s">
        <v>41</v>
      </c>
      <c r="C39" s="37" t="s">
        <v>42</v>
      </c>
      <c r="D39" s="38" t="s">
        <v>222</v>
      </c>
      <c r="E39" s="38" t="s">
        <v>226</v>
      </c>
      <c r="G39" s="37" t="s">
        <v>227</v>
      </c>
      <c r="J39" s="38" t="s">
        <v>207</v>
      </c>
      <c r="K39" s="38" t="s">
        <v>208</v>
      </c>
      <c r="L39" s="38" t="s">
        <v>228</v>
      </c>
    </row>
    <row r="40" customFormat="false" ht="12.75" hidden="false" customHeight="false" outlineLevel="0" collapsed="false">
      <c r="B40" s="37" t="s">
        <v>41</v>
      </c>
      <c r="C40" s="37" t="s">
        <v>42</v>
      </c>
      <c r="D40" s="38" t="s">
        <v>229</v>
      </c>
      <c r="E40" s="38" t="s">
        <v>230</v>
      </c>
      <c r="G40" s="37" t="s">
        <v>231</v>
      </c>
      <c r="J40" s="38" t="s">
        <v>207</v>
      </c>
      <c r="K40" s="38" t="s">
        <v>208</v>
      </c>
      <c r="L40" s="38" t="s">
        <v>232</v>
      </c>
    </row>
    <row r="41" customFormat="false" ht="12.75" hidden="false" customHeight="false" outlineLevel="0" collapsed="false">
      <c r="B41" s="37" t="s">
        <v>41</v>
      </c>
      <c r="C41" s="37" t="s">
        <v>42</v>
      </c>
      <c r="D41" s="38" t="s">
        <v>229</v>
      </c>
      <c r="E41" s="38" t="s">
        <v>233</v>
      </c>
      <c r="G41" s="37" t="s">
        <v>234</v>
      </c>
      <c r="J41" s="38" t="s">
        <v>207</v>
      </c>
      <c r="K41" s="38" t="s">
        <v>208</v>
      </c>
      <c r="L41" s="38" t="s">
        <v>235</v>
      </c>
    </row>
    <row r="42" customFormat="false" ht="12.75" hidden="false" customHeight="false" outlineLevel="0" collapsed="false">
      <c r="B42" s="37" t="s">
        <v>41</v>
      </c>
      <c r="C42" s="37" t="s">
        <v>42</v>
      </c>
      <c r="D42" s="38" t="s">
        <v>159</v>
      </c>
      <c r="E42" s="38" t="s">
        <v>236</v>
      </c>
      <c r="G42" s="37" t="s">
        <v>237</v>
      </c>
      <c r="J42" s="38" t="s">
        <v>207</v>
      </c>
      <c r="K42" s="38" t="s">
        <v>208</v>
      </c>
      <c r="L42" s="38" t="s">
        <v>238</v>
      </c>
    </row>
    <row r="43" customFormat="false" ht="12.75" hidden="false" customHeight="false" outlineLevel="0" collapsed="false">
      <c r="B43" s="37" t="s">
        <v>41</v>
      </c>
      <c r="C43" s="37" t="s">
        <v>42</v>
      </c>
      <c r="D43" s="38" t="s">
        <v>159</v>
      </c>
      <c r="E43" s="38" t="s">
        <v>239</v>
      </c>
      <c r="G43" s="37" t="s">
        <v>240</v>
      </c>
      <c r="J43" s="38" t="s">
        <v>207</v>
      </c>
      <c r="K43" s="38" t="s">
        <v>208</v>
      </c>
      <c r="L43" s="38" t="s">
        <v>241</v>
      </c>
    </row>
    <row r="44" customFormat="false" ht="12.75" hidden="false" customHeight="false" outlineLevel="0" collapsed="false">
      <c r="B44" s="37" t="s">
        <v>41</v>
      </c>
      <c r="C44" s="37" t="s">
        <v>42</v>
      </c>
      <c r="D44" s="38" t="s">
        <v>242</v>
      </c>
      <c r="E44" s="38" t="s">
        <v>243</v>
      </c>
      <c r="G44" s="37" t="s">
        <v>244</v>
      </c>
      <c r="J44" s="38" t="s">
        <v>207</v>
      </c>
      <c r="K44" s="38" t="s">
        <v>208</v>
      </c>
      <c r="L44" s="38" t="s">
        <v>245</v>
      </c>
    </row>
    <row r="45" customFormat="false" ht="12.75" hidden="false" customHeight="false" outlineLevel="0" collapsed="false">
      <c r="B45" s="37" t="s">
        <v>41</v>
      </c>
      <c r="C45" s="37" t="s">
        <v>42</v>
      </c>
      <c r="D45" s="38" t="s">
        <v>242</v>
      </c>
      <c r="E45" s="38" t="s">
        <v>246</v>
      </c>
      <c r="G45" s="37" t="s">
        <v>247</v>
      </c>
      <c r="J45" s="38" t="s">
        <v>207</v>
      </c>
      <c r="K45" s="38" t="s">
        <v>208</v>
      </c>
      <c r="L45" s="38" t="s">
        <v>248</v>
      </c>
    </row>
    <row r="46" customFormat="false" ht="12.75" hidden="false" customHeight="false" outlineLevel="0" collapsed="false">
      <c r="B46" s="37" t="s">
        <v>41</v>
      </c>
      <c r="C46" s="37" t="s">
        <v>42</v>
      </c>
      <c r="D46" s="38" t="s">
        <v>249</v>
      </c>
      <c r="E46" s="38" t="s">
        <v>250</v>
      </c>
      <c r="G46" s="37" t="s">
        <v>251</v>
      </c>
      <c r="J46" s="38" t="s">
        <v>207</v>
      </c>
      <c r="K46" s="38" t="s">
        <v>208</v>
      </c>
      <c r="L46" s="38" t="s">
        <v>252</v>
      </c>
    </row>
    <row r="47" customFormat="false" ht="12.75" hidden="false" customHeight="false" outlineLevel="0" collapsed="false">
      <c r="B47" s="37" t="s">
        <v>41</v>
      </c>
      <c r="C47" s="37" t="s">
        <v>61</v>
      </c>
      <c r="D47" s="38" t="s">
        <v>253</v>
      </c>
      <c r="E47" s="38" t="s">
        <v>254</v>
      </c>
      <c r="G47" s="37" t="s">
        <v>255</v>
      </c>
      <c r="J47" s="38" t="s">
        <v>65</v>
      </c>
      <c r="K47" s="38" t="s">
        <v>256</v>
      </c>
      <c r="L47" s="38" t="s">
        <v>257</v>
      </c>
    </row>
    <row r="48" customFormat="false" ht="12.75" hidden="false" customHeight="false" outlineLevel="0" collapsed="false">
      <c r="B48" s="37" t="s">
        <v>41</v>
      </c>
      <c r="C48" s="37" t="s">
        <v>258</v>
      </c>
      <c r="D48" s="38" t="s">
        <v>259</v>
      </c>
      <c r="E48" s="38" t="s">
        <v>260</v>
      </c>
      <c r="G48" s="37" t="s">
        <v>261</v>
      </c>
      <c r="J48" s="38" t="s">
        <v>115</v>
      </c>
      <c r="K48" s="38" t="s">
        <v>262</v>
      </c>
      <c r="L48" s="38" t="s">
        <v>263</v>
      </c>
    </row>
    <row r="49" customFormat="false" ht="12.75" hidden="false" customHeight="false" outlineLevel="0" collapsed="false">
      <c r="B49" s="37" t="s">
        <v>41</v>
      </c>
      <c r="C49" s="37" t="s">
        <v>258</v>
      </c>
      <c r="D49" s="38" t="s">
        <v>264</v>
      </c>
      <c r="E49" s="38" t="s">
        <v>265</v>
      </c>
      <c r="G49" s="37" t="s">
        <v>266</v>
      </c>
      <c r="J49" s="38" t="s">
        <v>267</v>
      </c>
      <c r="K49" s="38" t="s">
        <v>268</v>
      </c>
      <c r="L49" s="38" t="s">
        <v>269</v>
      </c>
    </row>
    <row r="50" customFormat="false" ht="12.75" hidden="false" customHeight="false" outlineLevel="0" collapsed="false">
      <c r="B50" s="37" t="s">
        <v>41</v>
      </c>
      <c r="C50" s="37" t="s">
        <v>270</v>
      </c>
      <c r="D50" s="38" t="s">
        <v>271</v>
      </c>
      <c r="E50" s="38" t="s">
        <v>272</v>
      </c>
      <c r="G50" s="37" t="s">
        <v>273</v>
      </c>
      <c r="J50" s="38" t="s">
        <v>274</v>
      </c>
      <c r="K50" s="38" t="s">
        <v>275</v>
      </c>
      <c r="L50" s="38" t="s">
        <v>276</v>
      </c>
    </row>
    <row r="51" customFormat="false" ht="12.75" hidden="false" customHeight="false" outlineLevel="0" collapsed="false">
      <c r="B51" s="37" t="s">
        <v>41</v>
      </c>
      <c r="C51" s="37" t="s">
        <v>258</v>
      </c>
      <c r="D51" s="38" t="s">
        <v>277</v>
      </c>
      <c r="E51" s="38" t="s">
        <v>278</v>
      </c>
      <c r="G51" s="37" t="s">
        <v>279</v>
      </c>
      <c r="J51" s="38" t="s">
        <v>115</v>
      </c>
      <c r="K51" s="38" t="s">
        <v>280</v>
      </c>
      <c r="L51" s="38" t="s">
        <v>281</v>
      </c>
    </row>
    <row r="52" customFormat="false" ht="12.75" hidden="false" customHeight="false" outlineLevel="0" collapsed="false">
      <c r="B52" s="37" t="s">
        <v>41</v>
      </c>
      <c r="C52" s="37" t="s">
        <v>42</v>
      </c>
      <c r="D52" s="38" t="s">
        <v>282</v>
      </c>
      <c r="E52" s="38" t="s">
        <v>283</v>
      </c>
      <c r="G52" s="37" t="s">
        <v>284</v>
      </c>
      <c r="J52" s="38" t="s">
        <v>285</v>
      </c>
      <c r="K52" s="38" t="s">
        <v>286</v>
      </c>
      <c r="L52" s="38" t="s">
        <v>287</v>
      </c>
    </row>
    <row r="53" customFormat="false" ht="12.75" hidden="false" customHeight="false" outlineLevel="0" collapsed="false">
      <c r="B53" s="37" t="s">
        <v>41</v>
      </c>
      <c r="C53" s="37" t="s">
        <v>42</v>
      </c>
      <c r="D53" s="38" t="s">
        <v>288</v>
      </c>
      <c r="E53" s="38" t="s">
        <v>289</v>
      </c>
      <c r="G53" s="37" t="s">
        <v>290</v>
      </c>
      <c r="J53" s="38" t="s">
        <v>65</v>
      </c>
      <c r="K53" s="38" t="s">
        <v>291</v>
      </c>
      <c r="L53" s="38" t="s">
        <v>292</v>
      </c>
    </row>
    <row r="54" customFormat="false" ht="12.75" hidden="false" customHeight="false" outlineLevel="0" collapsed="false">
      <c r="B54" s="37" t="s">
        <v>41</v>
      </c>
      <c r="C54" s="37" t="s">
        <v>42</v>
      </c>
      <c r="D54" s="38" t="s">
        <v>249</v>
      </c>
      <c r="E54" s="38" t="s">
        <v>243</v>
      </c>
      <c r="G54" s="37" t="s">
        <v>293</v>
      </c>
      <c r="J54" s="38" t="s">
        <v>207</v>
      </c>
      <c r="K54" s="38" t="s">
        <v>208</v>
      </c>
      <c r="L54" s="38" t="s">
        <v>294</v>
      </c>
    </row>
    <row r="55" customFormat="false" ht="12.75" hidden="false" customHeight="false" outlineLevel="0" collapsed="false">
      <c r="B55" s="37" t="s">
        <v>41</v>
      </c>
      <c r="C55" s="37" t="s">
        <v>42</v>
      </c>
      <c r="D55" s="38" t="s">
        <v>295</v>
      </c>
      <c r="E55" s="38" t="s">
        <v>296</v>
      </c>
      <c r="G55" s="37" t="s">
        <v>297</v>
      </c>
      <c r="J55" s="38" t="s">
        <v>207</v>
      </c>
      <c r="K55" s="38" t="s">
        <v>208</v>
      </c>
      <c r="L55" s="38" t="s">
        <v>298</v>
      </c>
    </row>
    <row r="56" customFormat="false" ht="12.75" hidden="false" customHeight="false" outlineLevel="0" collapsed="false">
      <c r="B56" s="37" t="s">
        <v>41</v>
      </c>
      <c r="C56" s="37" t="s">
        <v>42</v>
      </c>
      <c r="D56" s="38" t="s">
        <v>299</v>
      </c>
      <c r="E56" s="38" t="s">
        <v>300</v>
      </c>
      <c r="G56" s="37" t="s">
        <v>301</v>
      </c>
      <c r="J56" s="38" t="s">
        <v>207</v>
      </c>
      <c r="K56" s="38" t="s">
        <v>208</v>
      </c>
      <c r="L56" s="38" t="s">
        <v>302</v>
      </c>
    </row>
    <row r="57" customFormat="false" ht="12.75" hidden="false" customHeight="false" outlineLevel="0" collapsed="false">
      <c r="B57" s="37" t="s">
        <v>41</v>
      </c>
      <c r="C57" s="37" t="s">
        <v>42</v>
      </c>
      <c r="D57" s="38" t="s">
        <v>303</v>
      </c>
      <c r="E57" s="38" t="s">
        <v>304</v>
      </c>
      <c r="G57" s="37" t="s">
        <v>305</v>
      </c>
      <c r="J57" s="38" t="s">
        <v>207</v>
      </c>
      <c r="K57" s="38" t="s">
        <v>208</v>
      </c>
      <c r="L57" s="38" t="s">
        <v>306</v>
      </c>
    </row>
    <row r="58" customFormat="false" ht="12.75" hidden="false" customHeight="false" outlineLevel="0" collapsed="false">
      <c r="B58" s="37" t="s">
        <v>41</v>
      </c>
      <c r="C58" s="37" t="s">
        <v>42</v>
      </c>
      <c r="D58" s="38" t="s">
        <v>307</v>
      </c>
      <c r="E58" s="38" t="s">
        <v>215</v>
      </c>
      <c r="G58" s="37" t="s">
        <v>308</v>
      </c>
      <c r="J58" s="38" t="s">
        <v>207</v>
      </c>
      <c r="K58" s="38" t="s">
        <v>208</v>
      </c>
      <c r="L58" s="38" t="s">
        <v>309</v>
      </c>
    </row>
    <row r="59" customFormat="false" ht="12.75" hidden="false" customHeight="false" outlineLevel="0" collapsed="false">
      <c r="B59" s="37" t="s">
        <v>41</v>
      </c>
      <c r="C59" s="37" t="s">
        <v>68</v>
      </c>
      <c r="D59" s="38" t="s">
        <v>310</v>
      </c>
      <c r="E59" s="38" t="s">
        <v>311</v>
      </c>
      <c r="G59" s="37" t="s">
        <v>312</v>
      </c>
      <c r="J59" s="38" t="s">
        <v>313</v>
      </c>
      <c r="K59" s="38" t="s">
        <v>314</v>
      </c>
      <c r="L59" s="38" t="s">
        <v>315</v>
      </c>
      <c r="M59" s="38" t="s">
        <v>316</v>
      </c>
    </row>
    <row r="60" customFormat="false" ht="12.75" hidden="false" customHeight="false" outlineLevel="0" collapsed="false">
      <c r="B60" s="37" t="s">
        <v>41</v>
      </c>
      <c r="C60" s="37" t="s">
        <v>68</v>
      </c>
      <c r="D60" s="38" t="s">
        <v>317</v>
      </c>
      <c r="E60" s="38" t="s">
        <v>318</v>
      </c>
      <c r="G60" s="37" t="s">
        <v>319</v>
      </c>
      <c r="J60" s="38" t="s">
        <v>320</v>
      </c>
      <c r="K60" s="38" t="s">
        <v>321</v>
      </c>
      <c r="L60" s="38" t="s">
        <v>322</v>
      </c>
      <c r="M60" s="38" t="s">
        <v>323</v>
      </c>
    </row>
    <row r="61" customFormat="false" ht="12.75" hidden="false" customHeight="false" outlineLevel="0" collapsed="false">
      <c r="B61" s="37" t="s">
        <v>41</v>
      </c>
      <c r="C61" s="37" t="s">
        <v>68</v>
      </c>
      <c r="D61" s="38" t="s">
        <v>317</v>
      </c>
      <c r="E61" s="38" t="s">
        <v>324</v>
      </c>
      <c r="G61" s="37" t="s">
        <v>325</v>
      </c>
      <c r="J61" s="38" t="s">
        <v>320</v>
      </c>
      <c r="K61" s="38" t="s">
        <v>321</v>
      </c>
      <c r="L61" s="38" t="s">
        <v>326</v>
      </c>
      <c r="M61" s="38" t="s">
        <v>327</v>
      </c>
    </row>
    <row r="62" customFormat="false" ht="12.75" hidden="false" customHeight="false" outlineLevel="0" collapsed="false">
      <c r="B62" s="37" t="s">
        <v>41</v>
      </c>
      <c r="C62" s="37" t="s">
        <v>258</v>
      </c>
      <c r="D62" s="38" t="s">
        <v>328</v>
      </c>
      <c r="E62" s="38" t="s">
        <v>329</v>
      </c>
      <c r="G62" s="37" t="s">
        <v>330</v>
      </c>
      <c r="J62" s="38" t="s">
        <v>331</v>
      </c>
      <c r="K62" s="38" t="s">
        <v>332</v>
      </c>
      <c r="L62" s="38" t="s">
        <v>333</v>
      </c>
    </row>
    <row r="63" customFormat="false" ht="12.75" hidden="false" customHeight="false" outlineLevel="0" collapsed="false">
      <c r="B63" s="37" t="s">
        <v>41</v>
      </c>
      <c r="C63" s="37" t="s">
        <v>68</v>
      </c>
      <c r="D63" s="38" t="s">
        <v>334</v>
      </c>
      <c r="E63" s="38" t="s">
        <v>335</v>
      </c>
      <c r="G63" s="37" t="s">
        <v>336</v>
      </c>
      <c r="J63" s="38" t="s">
        <v>134</v>
      </c>
      <c r="K63" s="38" t="s">
        <v>337</v>
      </c>
      <c r="L63" s="38" t="s">
        <v>338</v>
      </c>
    </row>
    <row r="64" customFormat="false" ht="12.75" hidden="false" customHeight="false" outlineLevel="0" collapsed="false">
      <c r="B64" s="37" t="s">
        <v>41</v>
      </c>
      <c r="C64" s="37" t="s">
        <v>258</v>
      </c>
      <c r="D64" s="38" t="s">
        <v>339</v>
      </c>
      <c r="E64" s="38" t="s">
        <v>340</v>
      </c>
      <c r="G64" s="37" t="s">
        <v>341</v>
      </c>
      <c r="J64" s="38" t="s">
        <v>342</v>
      </c>
      <c r="K64" s="38" t="s">
        <v>343</v>
      </c>
      <c r="L64" s="38" t="s">
        <v>344</v>
      </c>
    </row>
    <row r="65" customFormat="false" ht="12.75" hidden="false" customHeight="false" outlineLevel="0" collapsed="false">
      <c r="B65" s="37" t="s">
        <v>41</v>
      </c>
      <c r="C65" s="37" t="s">
        <v>68</v>
      </c>
      <c r="D65" s="38" t="s">
        <v>345</v>
      </c>
      <c r="E65" s="38" t="s">
        <v>346</v>
      </c>
      <c r="G65" s="37" t="s">
        <v>347</v>
      </c>
      <c r="J65" s="38" t="s">
        <v>58</v>
      </c>
      <c r="K65" s="38" t="s">
        <v>348</v>
      </c>
      <c r="L65" s="38" t="s">
        <v>349</v>
      </c>
    </row>
    <row r="66" customFormat="false" ht="12.75" hidden="false" customHeight="false" outlineLevel="0" collapsed="false">
      <c r="B66" s="37" t="s">
        <v>41</v>
      </c>
      <c r="C66" s="37" t="s">
        <v>42</v>
      </c>
      <c r="D66" s="38" t="s">
        <v>79</v>
      </c>
      <c r="E66" s="38" t="s">
        <v>350</v>
      </c>
      <c r="G66" s="37" t="s">
        <v>351</v>
      </c>
      <c r="J66" s="38" t="s">
        <v>82</v>
      </c>
      <c r="K66" s="38" t="s">
        <v>352</v>
      </c>
      <c r="L66" s="38" t="s">
        <v>353</v>
      </c>
    </row>
    <row r="67" customFormat="false" ht="12.75" hidden="false" customHeight="false" outlineLevel="0" collapsed="false">
      <c r="B67" s="37" t="s">
        <v>41</v>
      </c>
      <c r="C67" s="37" t="s">
        <v>106</v>
      </c>
      <c r="D67" s="38" t="s">
        <v>354</v>
      </c>
      <c r="E67" s="38" t="s">
        <v>355</v>
      </c>
      <c r="G67" s="37" t="s">
        <v>356</v>
      </c>
      <c r="J67" s="38" t="s">
        <v>357</v>
      </c>
      <c r="K67" s="38" t="s">
        <v>358</v>
      </c>
      <c r="L67" s="38" t="s">
        <v>359</v>
      </c>
      <c r="M67" s="38" t="s">
        <v>360</v>
      </c>
    </row>
    <row r="68" customFormat="false" ht="12.75" hidden="false" customHeight="false" outlineLevel="0" collapsed="false">
      <c r="B68" s="37" t="s">
        <v>41</v>
      </c>
      <c r="C68" s="37" t="s">
        <v>61</v>
      </c>
      <c r="D68" s="38" t="s">
        <v>361</v>
      </c>
      <c r="E68" s="38" t="s">
        <v>362</v>
      </c>
      <c r="G68" s="37" t="s">
        <v>363</v>
      </c>
      <c r="J68" s="38" t="s">
        <v>364</v>
      </c>
      <c r="K68" s="38" t="s">
        <v>365</v>
      </c>
      <c r="L68" s="38" t="s">
        <v>366</v>
      </c>
    </row>
    <row r="69" customFormat="false" ht="12.75" hidden="false" customHeight="false" outlineLevel="0" collapsed="false">
      <c r="B69" s="37" t="s">
        <v>41</v>
      </c>
      <c r="C69" s="37" t="s">
        <v>61</v>
      </c>
      <c r="D69" s="38" t="s">
        <v>361</v>
      </c>
      <c r="E69" s="38" t="s">
        <v>362</v>
      </c>
      <c r="G69" s="37" t="s">
        <v>363</v>
      </c>
      <c r="J69" s="38" t="s">
        <v>364</v>
      </c>
      <c r="K69" s="38" t="s">
        <v>365</v>
      </c>
      <c r="L69" s="38" t="s">
        <v>366</v>
      </c>
    </row>
    <row r="70" customFormat="false" ht="12.75" hidden="false" customHeight="false" outlineLevel="0" collapsed="false">
      <c r="B70" s="37" t="s">
        <v>41</v>
      </c>
      <c r="C70" s="37" t="s">
        <v>42</v>
      </c>
      <c r="D70" s="38" t="s">
        <v>367</v>
      </c>
      <c r="E70" s="38" t="s">
        <v>368</v>
      </c>
      <c r="G70" s="37" t="s">
        <v>369</v>
      </c>
      <c r="J70" s="38" t="s">
        <v>162</v>
      </c>
      <c r="K70" s="38" t="s">
        <v>370</v>
      </c>
      <c r="L70" s="38" t="s">
        <v>371</v>
      </c>
    </row>
    <row r="71" customFormat="false" ht="12.75" hidden="false" customHeight="false" outlineLevel="0" collapsed="false">
      <c r="B71" s="37" t="s">
        <v>41</v>
      </c>
      <c r="C71" s="37" t="s">
        <v>42</v>
      </c>
      <c r="D71" s="38" t="s">
        <v>372</v>
      </c>
      <c r="E71" s="38" t="s">
        <v>373</v>
      </c>
      <c r="G71" s="37" t="s">
        <v>374</v>
      </c>
      <c r="J71" s="38" t="s">
        <v>162</v>
      </c>
      <c r="K71" s="38" t="s">
        <v>375</v>
      </c>
      <c r="L71" s="38" t="s">
        <v>376</v>
      </c>
    </row>
    <row r="72" customFormat="false" ht="12.75" hidden="false" customHeight="false" outlineLevel="0" collapsed="false">
      <c r="B72" s="37" t="s">
        <v>41</v>
      </c>
      <c r="C72" s="37" t="s">
        <v>42</v>
      </c>
      <c r="D72" s="38" t="s">
        <v>377</v>
      </c>
      <c r="E72" s="38" t="s">
        <v>378</v>
      </c>
      <c r="G72" s="37" t="s">
        <v>379</v>
      </c>
      <c r="J72" s="38" t="s">
        <v>77</v>
      </c>
      <c r="K72" s="38" t="s">
        <v>380</v>
      </c>
      <c r="L72" s="38" t="s">
        <v>381</v>
      </c>
    </row>
    <row r="73" customFormat="false" ht="12.75" hidden="false" customHeight="false" outlineLevel="0" collapsed="false">
      <c r="B73" s="37" t="s">
        <v>41</v>
      </c>
      <c r="C73" s="37" t="s">
        <v>90</v>
      </c>
      <c r="D73" s="38" t="s">
        <v>382</v>
      </c>
      <c r="E73" s="38" t="s">
        <v>383</v>
      </c>
      <c r="G73" s="37" t="s">
        <v>384</v>
      </c>
      <c r="J73" s="38" t="s">
        <v>385</v>
      </c>
      <c r="K73" s="38" t="s">
        <v>386</v>
      </c>
      <c r="L73" s="38" t="s">
        <v>387</v>
      </c>
    </row>
    <row r="74" customFormat="false" ht="12.75" hidden="false" customHeight="false" outlineLevel="0" collapsed="false">
      <c r="B74" s="37" t="s">
        <v>41</v>
      </c>
      <c r="C74" s="37" t="s">
        <v>258</v>
      </c>
      <c r="D74" s="38" t="s">
        <v>388</v>
      </c>
      <c r="E74" s="38" t="s">
        <v>389</v>
      </c>
      <c r="G74" s="37" t="s">
        <v>390</v>
      </c>
      <c r="J74" s="38" t="s">
        <v>65</v>
      </c>
      <c r="K74" s="38" t="s">
        <v>152</v>
      </c>
      <c r="L74" s="38" t="s">
        <v>391</v>
      </c>
    </row>
    <row r="75" customFormat="false" ht="12.75" hidden="false" customHeight="false" outlineLevel="0" collapsed="false">
      <c r="B75" s="37" t="s">
        <v>41</v>
      </c>
      <c r="C75" s="37" t="s">
        <v>258</v>
      </c>
      <c r="D75" s="38" t="s">
        <v>392</v>
      </c>
      <c r="E75" s="38" t="s">
        <v>393</v>
      </c>
      <c r="G75" s="37" t="s">
        <v>394</v>
      </c>
      <c r="J75" s="38" t="s">
        <v>65</v>
      </c>
      <c r="K75" s="38" t="s">
        <v>152</v>
      </c>
      <c r="L75" s="38" t="s">
        <v>395</v>
      </c>
    </row>
    <row r="76" customFormat="false" ht="12.75" hidden="false" customHeight="false" outlineLevel="0" collapsed="false">
      <c r="B76" s="37" t="s">
        <v>41</v>
      </c>
      <c r="C76" s="37" t="s">
        <v>258</v>
      </c>
      <c r="D76" s="38" t="s">
        <v>396</v>
      </c>
      <c r="E76" s="38" t="s">
        <v>397</v>
      </c>
      <c r="G76" s="37" t="s">
        <v>398</v>
      </c>
      <c r="J76" s="38" t="s">
        <v>65</v>
      </c>
      <c r="K76" s="38" t="s">
        <v>399</v>
      </c>
      <c r="L76" s="38" t="s">
        <v>400</v>
      </c>
    </row>
    <row r="77" customFormat="false" ht="12.75" hidden="false" customHeight="false" outlineLevel="0" collapsed="false">
      <c r="B77" s="37" t="s">
        <v>41</v>
      </c>
      <c r="C77" s="37" t="s">
        <v>258</v>
      </c>
      <c r="D77" s="38" t="s">
        <v>401</v>
      </c>
      <c r="E77" s="38" t="s">
        <v>402</v>
      </c>
      <c r="G77" s="37" t="s">
        <v>403</v>
      </c>
      <c r="J77" s="38" t="s">
        <v>65</v>
      </c>
      <c r="K77" s="38" t="s">
        <v>152</v>
      </c>
      <c r="L77" s="38" t="s">
        <v>404</v>
      </c>
    </row>
    <row r="78" customFormat="false" ht="12.75" hidden="false" customHeight="false" outlineLevel="0" collapsed="false">
      <c r="B78" s="37" t="s">
        <v>41</v>
      </c>
      <c r="C78" s="37" t="s">
        <v>258</v>
      </c>
      <c r="D78" s="38" t="s">
        <v>405</v>
      </c>
      <c r="E78" s="38" t="s">
        <v>406</v>
      </c>
      <c r="G78" s="37" t="s">
        <v>407</v>
      </c>
      <c r="J78" s="38" t="s">
        <v>65</v>
      </c>
      <c r="K78" s="38" t="s">
        <v>152</v>
      </c>
      <c r="L78" s="38" t="s">
        <v>408</v>
      </c>
    </row>
    <row r="79" customFormat="false" ht="12.75" hidden="false" customHeight="false" outlineLevel="0" collapsed="false">
      <c r="B79" s="37" t="s">
        <v>41</v>
      </c>
      <c r="C79" s="37" t="s">
        <v>258</v>
      </c>
      <c r="D79" s="38" t="s">
        <v>409</v>
      </c>
      <c r="E79" s="38" t="s">
        <v>410</v>
      </c>
      <c r="G79" s="37" t="s">
        <v>411</v>
      </c>
      <c r="J79" s="38" t="s">
        <v>65</v>
      </c>
      <c r="K79" s="38" t="s">
        <v>399</v>
      </c>
      <c r="L79" s="38" t="s">
        <v>412</v>
      </c>
    </row>
    <row r="80" customFormat="false" ht="12.75" hidden="false" customHeight="false" outlineLevel="0" collapsed="false">
      <c r="B80" s="37" t="s">
        <v>41</v>
      </c>
      <c r="C80" s="37" t="s">
        <v>258</v>
      </c>
      <c r="D80" s="38" t="s">
        <v>413</v>
      </c>
      <c r="E80" s="38" t="s">
        <v>414</v>
      </c>
      <c r="G80" s="37" t="s">
        <v>415</v>
      </c>
      <c r="J80" s="38" t="s">
        <v>65</v>
      </c>
      <c r="K80" s="38" t="s">
        <v>399</v>
      </c>
      <c r="L80" s="38" t="s">
        <v>416</v>
      </c>
    </row>
    <row r="81" customFormat="false" ht="12.75" hidden="false" customHeight="false" outlineLevel="0" collapsed="false">
      <c r="B81" s="37" t="s">
        <v>41</v>
      </c>
      <c r="C81" s="37" t="s">
        <v>258</v>
      </c>
      <c r="D81" s="38" t="s">
        <v>417</v>
      </c>
      <c r="E81" s="38" t="s">
        <v>417</v>
      </c>
      <c r="G81" s="37" t="s">
        <v>418</v>
      </c>
      <c r="J81" s="38" t="s">
        <v>65</v>
      </c>
      <c r="K81" s="38" t="s">
        <v>152</v>
      </c>
      <c r="L81" s="38" t="s">
        <v>419</v>
      </c>
    </row>
    <row r="82" customFormat="false" ht="12.75" hidden="false" customHeight="false" outlineLevel="0" collapsed="false">
      <c r="B82" s="37" t="s">
        <v>41</v>
      </c>
      <c r="C82" s="37" t="s">
        <v>258</v>
      </c>
      <c r="D82" s="38" t="s">
        <v>420</v>
      </c>
      <c r="E82" s="38" t="s">
        <v>421</v>
      </c>
      <c r="G82" s="37" t="s">
        <v>422</v>
      </c>
      <c r="J82" s="38" t="s">
        <v>65</v>
      </c>
      <c r="K82" s="38" t="s">
        <v>152</v>
      </c>
      <c r="L82" s="38" t="s">
        <v>423</v>
      </c>
    </row>
    <row r="83" customFormat="false" ht="12.75" hidden="false" customHeight="false" outlineLevel="0" collapsed="false">
      <c r="B83" s="37" t="s">
        <v>41</v>
      </c>
      <c r="C83" s="37" t="s">
        <v>258</v>
      </c>
      <c r="D83" s="38" t="s">
        <v>424</v>
      </c>
      <c r="E83" s="38" t="s">
        <v>425</v>
      </c>
      <c r="G83" s="37" t="s">
        <v>426</v>
      </c>
      <c r="J83" s="38" t="s">
        <v>65</v>
      </c>
      <c r="K83" s="38" t="s">
        <v>152</v>
      </c>
      <c r="L83" s="38" t="s">
        <v>427</v>
      </c>
    </row>
    <row r="84" customFormat="false" ht="12.75" hidden="false" customHeight="false" outlineLevel="0" collapsed="false">
      <c r="B84" s="37" t="s">
        <v>41</v>
      </c>
      <c r="C84" s="37" t="s">
        <v>258</v>
      </c>
      <c r="D84" s="38" t="s">
        <v>428</v>
      </c>
      <c r="E84" s="38" t="s">
        <v>429</v>
      </c>
      <c r="G84" s="37" t="s">
        <v>430</v>
      </c>
      <c r="J84" s="38" t="s">
        <v>65</v>
      </c>
      <c r="K84" s="38" t="s">
        <v>152</v>
      </c>
      <c r="L84" s="38" t="s">
        <v>431</v>
      </c>
    </row>
    <row r="85" customFormat="false" ht="12.75" hidden="false" customHeight="false" outlineLevel="0" collapsed="false">
      <c r="B85" s="37" t="s">
        <v>41</v>
      </c>
      <c r="C85" s="37" t="s">
        <v>258</v>
      </c>
      <c r="D85" s="38" t="s">
        <v>432</v>
      </c>
      <c r="E85" s="38" t="s">
        <v>433</v>
      </c>
      <c r="G85" s="37" t="s">
        <v>434</v>
      </c>
      <c r="J85" s="38" t="s">
        <v>65</v>
      </c>
      <c r="K85" s="38" t="s">
        <v>152</v>
      </c>
      <c r="L85" s="38" t="s">
        <v>435</v>
      </c>
    </row>
    <row r="86" customFormat="false" ht="12.75" hidden="false" customHeight="false" outlineLevel="0" collapsed="false">
      <c r="B86" s="37" t="s">
        <v>41</v>
      </c>
      <c r="C86" s="37" t="s">
        <v>258</v>
      </c>
      <c r="D86" s="38" t="s">
        <v>436</v>
      </c>
      <c r="E86" s="38" t="s">
        <v>437</v>
      </c>
      <c r="G86" s="37" t="s">
        <v>172</v>
      </c>
      <c r="J86" s="38" t="s">
        <v>65</v>
      </c>
      <c r="K86" s="38" t="s">
        <v>152</v>
      </c>
      <c r="L86" s="38" t="s">
        <v>438</v>
      </c>
    </row>
    <row r="87" customFormat="false" ht="12.75" hidden="false" customHeight="false" outlineLevel="0" collapsed="false">
      <c r="B87" s="37" t="s">
        <v>41</v>
      </c>
      <c r="C87" s="37" t="s">
        <v>258</v>
      </c>
      <c r="D87" s="38" t="s">
        <v>439</v>
      </c>
      <c r="E87" s="38" t="s">
        <v>440</v>
      </c>
      <c r="G87" s="37" t="s">
        <v>441</v>
      </c>
      <c r="J87" s="38" t="s">
        <v>65</v>
      </c>
      <c r="K87" s="38" t="s">
        <v>152</v>
      </c>
      <c r="L87" s="38" t="s">
        <v>442</v>
      </c>
    </row>
    <row r="88" customFormat="false" ht="12.75" hidden="false" customHeight="false" outlineLevel="0" collapsed="false">
      <c r="B88" s="37" t="s">
        <v>41</v>
      </c>
      <c r="C88" s="37" t="s">
        <v>258</v>
      </c>
      <c r="D88" s="38" t="s">
        <v>443</v>
      </c>
      <c r="E88" s="38" t="s">
        <v>444</v>
      </c>
      <c r="G88" s="37" t="s">
        <v>445</v>
      </c>
      <c r="J88" s="38" t="s">
        <v>65</v>
      </c>
      <c r="K88" s="38" t="s">
        <v>152</v>
      </c>
      <c r="L88" s="38" t="s">
        <v>446</v>
      </c>
    </row>
    <row r="89" customFormat="false" ht="12.75" hidden="false" customHeight="false" outlineLevel="0" collapsed="false">
      <c r="B89" s="37" t="s">
        <v>41</v>
      </c>
      <c r="C89" s="37" t="s">
        <v>258</v>
      </c>
      <c r="D89" s="38" t="s">
        <v>447</v>
      </c>
      <c r="E89" s="38" t="s">
        <v>448</v>
      </c>
      <c r="G89" s="37" t="s">
        <v>449</v>
      </c>
      <c r="J89" s="38" t="s">
        <v>65</v>
      </c>
      <c r="K89" s="38" t="s">
        <v>152</v>
      </c>
      <c r="L89" s="38" t="s">
        <v>450</v>
      </c>
    </row>
    <row r="90" customFormat="false" ht="12.75" hidden="false" customHeight="false" outlineLevel="0" collapsed="false">
      <c r="B90" s="37" t="s">
        <v>41</v>
      </c>
      <c r="C90" s="37" t="s">
        <v>258</v>
      </c>
      <c r="D90" s="38" t="s">
        <v>451</v>
      </c>
      <c r="E90" s="38" t="s">
        <v>452</v>
      </c>
      <c r="G90" s="37" t="s">
        <v>453</v>
      </c>
      <c r="J90" s="38" t="s">
        <v>65</v>
      </c>
      <c r="K90" s="38" t="s">
        <v>152</v>
      </c>
      <c r="L90" s="38" t="s">
        <v>454</v>
      </c>
    </row>
    <row r="91" customFormat="false" ht="12.75" hidden="false" customHeight="false" outlineLevel="0" collapsed="false">
      <c r="B91" s="37" t="s">
        <v>41</v>
      </c>
      <c r="C91" s="37" t="s">
        <v>68</v>
      </c>
      <c r="D91" s="38" t="s">
        <v>74</v>
      </c>
      <c r="E91" s="38" t="s">
        <v>455</v>
      </c>
      <c r="G91" s="37" t="s">
        <v>456</v>
      </c>
      <c r="J91" s="38" t="s">
        <v>77</v>
      </c>
      <c r="K91" s="38" t="s">
        <v>188</v>
      </c>
      <c r="L91" s="38" t="s">
        <v>457</v>
      </c>
    </row>
    <row r="92" customFormat="false" ht="12.75" hidden="false" customHeight="false" outlineLevel="0" collapsed="false">
      <c r="B92" s="37" t="s">
        <v>41</v>
      </c>
      <c r="C92" s="37" t="s">
        <v>68</v>
      </c>
      <c r="D92" s="38" t="s">
        <v>96</v>
      </c>
      <c r="E92" s="38" t="s">
        <v>458</v>
      </c>
      <c r="G92" s="37" t="s">
        <v>459</v>
      </c>
      <c r="J92" s="38" t="s">
        <v>65</v>
      </c>
      <c r="K92" s="38" t="s">
        <v>152</v>
      </c>
      <c r="L92" s="38" t="s">
        <v>460</v>
      </c>
    </row>
    <row r="93" customFormat="false" ht="12.75" hidden="false" customHeight="false" outlineLevel="0" collapsed="false">
      <c r="B93" s="37" t="s">
        <v>41</v>
      </c>
      <c r="C93" s="37" t="s">
        <v>68</v>
      </c>
      <c r="D93" s="38" t="s">
        <v>461</v>
      </c>
      <c r="E93" s="38" t="s">
        <v>462</v>
      </c>
      <c r="G93" s="37" t="s">
        <v>463</v>
      </c>
      <c r="J93" s="38" t="s">
        <v>65</v>
      </c>
      <c r="K93" s="38" t="s">
        <v>152</v>
      </c>
      <c r="L93" s="38" t="s">
        <v>464</v>
      </c>
    </row>
    <row r="94" customFormat="false" ht="12.75" hidden="false" customHeight="false" outlineLevel="0" collapsed="false">
      <c r="B94" s="37" t="s">
        <v>41</v>
      </c>
      <c r="C94" s="37" t="s">
        <v>68</v>
      </c>
      <c r="D94" s="38" t="s">
        <v>461</v>
      </c>
      <c r="E94" s="38" t="s">
        <v>465</v>
      </c>
      <c r="G94" s="37" t="s">
        <v>466</v>
      </c>
      <c r="J94" s="38" t="s">
        <v>65</v>
      </c>
      <c r="K94" s="38" t="s">
        <v>152</v>
      </c>
      <c r="L94" s="38" t="s">
        <v>467</v>
      </c>
    </row>
    <row r="95" customFormat="false" ht="12.75" hidden="false" customHeight="false" outlineLevel="0" collapsed="false">
      <c r="B95" s="37" t="s">
        <v>41</v>
      </c>
      <c r="C95" s="37" t="s">
        <v>258</v>
      </c>
      <c r="D95" s="38" t="s">
        <v>468</v>
      </c>
      <c r="E95" s="38" t="s">
        <v>469</v>
      </c>
      <c r="G95" s="37" t="s">
        <v>470</v>
      </c>
      <c r="J95" s="38" t="s">
        <v>65</v>
      </c>
      <c r="K95" s="38" t="s">
        <v>152</v>
      </c>
      <c r="L95" s="38" t="s">
        <v>471</v>
      </c>
    </row>
    <row r="96" customFormat="false" ht="12.75" hidden="false" customHeight="false" outlineLevel="0" collapsed="false">
      <c r="B96" s="37" t="s">
        <v>41</v>
      </c>
      <c r="C96" s="37" t="s">
        <v>258</v>
      </c>
      <c r="D96" s="38" t="s">
        <v>472</v>
      </c>
      <c r="E96" s="38" t="s">
        <v>473</v>
      </c>
      <c r="G96" s="37" t="s">
        <v>474</v>
      </c>
      <c r="J96" s="38" t="s">
        <v>65</v>
      </c>
      <c r="K96" s="38" t="s">
        <v>152</v>
      </c>
      <c r="L96" s="38" t="s">
        <v>475</v>
      </c>
    </row>
    <row r="97" customFormat="false" ht="12.75" hidden="false" customHeight="false" outlineLevel="0" collapsed="false">
      <c r="B97" s="37" t="s">
        <v>41</v>
      </c>
      <c r="C97" s="37" t="s">
        <v>258</v>
      </c>
      <c r="D97" s="38" t="s">
        <v>476</v>
      </c>
      <c r="E97" s="38" t="s">
        <v>477</v>
      </c>
      <c r="G97" s="37" t="s">
        <v>478</v>
      </c>
      <c r="J97" s="38" t="s">
        <v>65</v>
      </c>
      <c r="K97" s="38" t="s">
        <v>152</v>
      </c>
      <c r="L97" s="38" t="s">
        <v>479</v>
      </c>
    </row>
    <row r="98" customFormat="false" ht="12.75" hidden="false" customHeight="false" outlineLevel="0" collapsed="false">
      <c r="B98" s="37" t="s">
        <v>41</v>
      </c>
      <c r="C98" s="37" t="s">
        <v>258</v>
      </c>
      <c r="D98" s="38" t="s">
        <v>480</v>
      </c>
      <c r="E98" s="38" t="s">
        <v>481</v>
      </c>
      <c r="G98" s="37" t="s">
        <v>482</v>
      </c>
      <c r="J98" s="38" t="s">
        <v>58</v>
      </c>
      <c r="K98" s="38" t="s">
        <v>348</v>
      </c>
      <c r="L98" s="38" t="s">
        <v>483</v>
      </c>
    </row>
    <row r="99" customFormat="false" ht="12.75" hidden="false" customHeight="false" outlineLevel="0" collapsed="false">
      <c r="B99" s="37" t="s">
        <v>41</v>
      </c>
      <c r="C99" s="37" t="s">
        <v>258</v>
      </c>
      <c r="D99" s="38" t="s">
        <v>277</v>
      </c>
      <c r="E99" s="38" t="s">
        <v>484</v>
      </c>
      <c r="G99" s="37" t="s">
        <v>485</v>
      </c>
      <c r="J99" s="38" t="s">
        <v>207</v>
      </c>
      <c r="K99" s="38" t="s">
        <v>486</v>
      </c>
      <c r="L99" s="38" t="s">
        <v>487</v>
      </c>
    </row>
    <row r="100" customFormat="false" ht="12.75" hidden="false" customHeight="false" outlineLevel="0" collapsed="false">
      <c r="B100" s="37" t="s">
        <v>41</v>
      </c>
      <c r="C100" s="37" t="s">
        <v>61</v>
      </c>
      <c r="D100" s="38" t="s">
        <v>488</v>
      </c>
      <c r="E100" s="38" t="s">
        <v>489</v>
      </c>
      <c r="G100" s="37" t="s">
        <v>490</v>
      </c>
      <c r="J100" s="38" t="s">
        <v>491</v>
      </c>
      <c r="K100" s="38" t="s">
        <v>492</v>
      </c>
      <c r="L100" s="38" t="s">
        <v>493</v>
      </c>
    </row>
    <row r="101" customFormat="false" ht="12.75" hidden="false" customHeight="false" outlineLevel="0" collapsed="false">
      <c r="B101" s="37" t="s">
        <v>41</v>
      </c>
      <c r="C101" s="37" t="s">
        <v>68</v>
      </c>
      <c r="D101" s="38" t="s">
        <v>118</v>
      </c>
      <c r="E101" s="38" t="s">
        <v>494</v>
      </c>
      <c r="G101" s="37" t="s">
        <v>495</v>
      </c>
      <c r="J101" s="38" t="s">
        <v>65</v>
      </c>
      <c r="K101" s="38" t="s">
        <v>496</v>
      </c>
      <c r="L101" s="38" t="s">
        <v>497</v>
      </c>
    </row>
    <row r="102" customFormat="false" ht="12.75" hidden="false" customHeight="false" outlineLevel="0" collapsed="false">
      <c r="B102" s="37" t="s">
        <v>41</v>
      </c>
      <c r="C102" s="37" t="s">
        <v>42</v>
      </c>
      <c r="D102" s="38" t="s">
        <v>498</v>
      </c>
      <c r="E102" s="38" t="s">
        <v>499</v>
      </c>
      <c r="G102" s="37" t="s">
        <v>500</v>
      </c>
      <c r="J102" s="38" t="s">
        <v>501</v>
      </c>
      <c r="K102" s="38" t="s">
        <v>502</v>
      </c>
      <c r="L102" s="38" t="s">
        <v>503</v>
      </c>
      <c r="M102" s="38" t="s">
        <v>504</v>
      </c>
    </row>
    <row r="103" customFormat="false" ht="12.75" hidden="false" customHeight="false" outlineLevel="0" collapsed="false">
      <c r="B103" s="37" t="s">
        <v>41</v>
      </c>
      <c r="C103" s="37" t="s">
        <v>42</v>
      </c>
      <c r="D103" s="38" t="s">
        <v>505</v>
      </c>
      <c r="E103" s="38" t="s">
        <v>506</v>
      </c>
      <c r="G103" s="37" t="s">
        <v>507</v>
      </c>
      <c r="J103" s="38" t="s">
        <v>82</v>
      </c>
      <c r="K103" s="38" t="s">
        <v>508</v>
      </c>
      <c r="L103" s="38" t="s">
        <v>509</v>
      </c>
    </row>
    <row r="104" customFormat="false" ht="12.75" hidden="false" customHeight="false" outlineLevel="0" collapsed="false">
      <c r="B104" s="37" t="s">
        <v>41</v>
      </c>
      <c r="C104" s="37" t="s">
        <v>68</v>
      </c>
      <c r="D104" s="38" t="s">
        <v>510</v>
      </c>
      <c r="E104" s="38" t="s">
        <v>511</v>
      </c>
      <c r="G104" s="37" t="s">
        <v>512</v>
      </c>
      <c r="J104" s="38" t="s">
        <v>65</v>
      </c>
      <c r="K104" s="38" t="s">
        <v>152</v>
      </c>
      <c r="L104" s="38" t="s">
        <v>513</v>
      </c>
    </row>
    <row r="105" customFormat="false" ht="12.75" hidden="false" customHeight="false" outlineLevel="0" collapsed="false">
      <c r="B105" s="37" t="s">
        <v>41</v>
      </c>
      <c r="C105" s="37" t="s">
        <v>68</v>
      </c>
      <c r="D105" s="38" t="s">
        <v>310</v>
      </c>
      <c r="E105" s="38" t="s">
        <v>514</v>
      </c>
      <c r="G105" s="37" t="s">
        <v>515</v>
      </c>
      <c r="J105" s="38" t="s">
        <v>313</v>
      </c>
      <c r="K105" s="38" t="s">
        <v>516</v>
      </c>
      <c r="L105" s="38" t="s">
        <v>517</v>
      </c>
      <c r="M105" s="38" t="s">
        <v>518</v>
      </c>
    </row>
    <row r="106" customFormat="false" ht="12.75" hidden="false" customHeight="false" outlineLevel="0" collapsed="false">
      <c r="B106" s="37" t="s">
        <v>41</v>
      </c>
      <c r="C106" s="37" t="s">
        <v>61</v>
      </c>
      <c r="D106" s="38" t="s">
        <v>519</v>
      </c>
      <c r="E106" s="38" t="s">
        <v>520</v>
      </c>
      <c r="G106" s="37" t="s">
        <v>521</v>
      </c>
      <c r="J106" s="38" t="s">
        <v>385</v>
      </c>
      <c r="K106" s="38" t="s">
        <v>522</v>
      </c>
      <c r="L106" s="38" t="s">
        <v>523</v>
      </c>
    </row>
  </sheetData>
  <autoFilter ref="A1:P1"/>
  <printOptions headings="false" gridLines="false" gridLinesSet="true" horizontalCentered="false" verticalCentered="false"/>
  <pageMargins left="0.7875" right="0.7875" top="0.984027777777778" bottom="0.984027777777778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272"/>
  <sheetViews>
    <sheetView showFormulas="false" showGridLines="true" showRowColHeaders="true" showZeros="true" rightToLeft="false" tabSelected="false" showOutlineSymbols="true" defaultGridColor="true" view="normal" topLeftCell="B97" colorId="64" zoomScale="100" zoomScaleNormal="100" zoomScalePageLayoutView="100" workbookViewId="0">
      <selection pane="topLeft" activeCell="B60" activeCellId="0" sqref="B60"/>
    </sheetView>
  </sheetViews>
  <sheetFormatPr defaultColWidth="9.0546875" defaultRowHeight="12.75" customHeight="true" zeroHeight="false" outlineLevelRow="0" outlineLevelCol="0"/>
  <cols>
    <col collapsed="false" customWidth="true" hidden="true" outlineLevel="0" max="1" min="1" style="0" width="4.41"/>
    <col collapsed="false" customWidth="true" hidden="false" outlineLevel="0" max="2" min="2" style="0" width="5.71"/>
    <col collapsed="false" customWidth="true" hidden="false" outlineLevel="0" max="3" min="3" style="0" width="36.14"/>
    <col collapsed="false" customWidth="true" hidden="true" outlineLevel="0" max="4" min="4" style="0" width="36.7"/>
  </cols>
  <sheetData>
    <row r="1" customFormat="false" ht="12.75" hidden="false" customHeight="false" outlineLevel="0" collapsed="false">
      <c r="A1" s="0" t="n">
        <v>13</v>
      </c>
      <c r="B1" s="0" t="s">
        <v>524</v>
      </c>
      <c r="C1" s="0" t="s">
        <v>525</v>
      </c>
      <c r="D1" s="0" t="str">
        <f aca="false">CONCATENATE(B1," - ",C1)</f>
        <v>ABW - Aruba</v>
      </c>
    </row>
    <row r="2" customFormat="false" ht="12.75" hidden="false" customHeight="false" outlineLevel="0" collapsed="false">
      <c r="A2" s="0" t="n">
        <v>104</v>
      </c>
      <c r="B2" s="0" t="s">
        <v>526</v>
      </c>
      <c r="C2" s="0" t="s">
        <v>527</v>
      </c>
      <c r="D2" s="0" t="str">
        <f aca="false">CONCATENATE(B2," - ",C2)</f>
        <v>AFG - Afghánistán</v>
      </c>
    </row>
    <row r="3" customFormat="false" ht="12.75" hidden="false" customHeight="false" outlineLevel="0" collapsed="false">
      <c r="A3" s="0" t="n">
        <v>7</v>
      </c>
      <c r="B3" s="0" t="s">
        <v>528</v>
      </c>
      <c r="C3" s="0" t="s">
        <v>529</v>
      </c>
      <c r="D3" s="0" t="str">
        <f aca="false">CONCATENATE(B3," - ",C3)</f>
        <v>AGO - Angola</v>
      </c>
    </row>
    <row r="4" customFormat="false" ht="12.75" hidden="false" customHeight="false" outlineLevel="0" collapsed="false">
      <c r="A4" s="0" t="n">
        <v>8</v>
      </c>
      <c r="B4" s="0" t="s">
        <v>530</v>
      </c>
      <c r="C4" s="0" t="s">
        <v>531</v>
      </c>
      <c r="D4" s="0" t="str">
        <f aca="false">CONCATENATE(B4," - ",C4)</f>
        <v>AIA - Anguilla</v>
      </c>
    </row>
    <row r="5" customFormat="false" ht="12.75" hidden="false" customHeight="false" outlineLevel="0" collapsed="false">
      <c r="A5" s="0" t="n">
        <v>2</v>
      </c>
      <c r="B5" s="0" t="s">
        <v>532</v>
      </c>
      <c r="C5" s="0" t="s">
        <v>533</v>
      </c>
      <c r="D5" s="0" t="str">
        <f aca="false">CONCATENATE(B5," - ",C5)</f>
        <v>ALB - Albánie</v>
      </c>
    </row>
    <row r="6" customFormat="false" ht="12.75" hidden="false" customHeight="false" outlineLevel="0" collapsed="false">
      <c r="A6" s="0" t="n">
        <v>6</v>
      </c>
      <c r="B6" s="0" t="s">
        <v>534</v>
      </c>
      <c r="C6" s="0" t="s">
        <v>535</v>
      </c>
      <c r="D6" s="0" t="str">
        <f aca="false">CONCATENATE(B6," - ",C6)</f>
        <v>AND - Andorra</v>
      </c>
    </row>
    <row r="7" customFormat="false" ht="12.75" hidden="false" customHeight="false" outlineLevel="0" collapsed="false">
      <c r="A7" s="0" t="n">
        <v>201</v>
      </c>
      <c r="B7" s="0" t="s">
        <v>536</v>
      </c>
      <c r="C7" s="0" t="s">
        <v>537</v>
      </c>
      <c r="D7" s="0" t="str">
        <f aca="false">CONCATENATE(B7," - ",C7)</f>
        <v>ANT - Nizozemské Antily</v>
      </c>
    </row>
    <row r="8" customFormat="false" ht="12.75" hidden="false" customHeight="false" outlineLevel="0" collapsed="false">
      <c r="A8" s="0" t="n">
        <v>205</v>
      </c>
      <c r="B8" s="0" t="s">
        <v>538</v>
      </c>
      <c r="C8" s="0" t="s">
        <v>539</v>
      </c>
      <c r="D8" s="0" t="str">
        <f aca="false">CONCATENATE(B8," - ",C8)</f>
        <v>ARE - Spojené arabské emiráty</v>
      </c>
    </row>
    <row r="9" customFormat="false" ht="12.75" hidden="false" customHeight="false" outlineLevel="0" collapsed="false">
      <c r="A9" s="0" t="n">
        <v>11</v>
      </c>
      <c r="B9" s="0" t="s">
        <v>540</v>
      </c>
      <c r="C9" s="0" t="s">
        <v>541</v>
      </c>
      <c r="D9" s="0" t="str">
        <f aca="false">CONCATENATE(B9," - ",C9)</f>
        <v>ARG - Argentina</v>
      </c>
    </row>
    <row r="10" customFormat="false" ht="12.75" hidden="false" customHeight="false" outlineLevel="0" collapsed="false">
      <c r="A10" s="0" t="n">
        <v>12</v>
      </c>
      <c r="B10" s="0" t="s">
        <v>542</v>
      </c>
      <c r="C10" s="0" t="s">
        <v>543</v>
      </c>
      <c r="D10" s="0" t="str">
        <f aca="false">CONCATENATE(B10," - ",C10)</f>
        <v>ARM - Arménie</v>
      </c>
    </row>
    <row r="11" customFormat="false" ht="12.75" hidden="false" customHeight="false" outlineLevel="0" collapsed="false">
      <c r="A11" s="0" t="n">
        <v>4</v>
      </c>
      <c r="B11" s="0" t="s">
        <v>544</v>
      </c>
      <c r="C11" s="0" t="s">
        <v>545</v>
      </c>
      <c r="D11" s="0" t="str">
        <f aca="false">CONCATENATE(B11," - ",C11)</f>
        <v>ASM - Americká Samoa</v>
      </c>
    </row>
    <row r="12" customFormat="false" ht="12.75" hidden="false" customHeight="false" outlineLevel="0" collapsed="false">
      <c r="A12" s="0" t="n">
        <v>9</v>
      </c>
      <c r="B12" s="0" t="s">
        <v>546</v>
      </c>
      <c r="C12" s="0" t="s">
        <v>547</v>
      </c>
      <c r="D12" s="0" t="str">
        <f aca="false">CONCATENATE(B12," - ",C12)</f>
        <v>ATA - Antarktida</v>
      </c>
    </row>
    <row r="13" customFormat="false" ht="12.75" hidden="false" customHeight="false" outlineLevel="0" collapsed="false">
      <c r="A13" s="0" t="n">
        <v>53</v>
      </c>
      <c r="B13" s="0" t="s">
        <v>548</v>
      </c>
      <c r="C13" s="0" t="s">
        <v>549</v>
      </c>
      <c r="D13" s="0" t="str">
        <f aca="false">CONCATENATE(B13," - ",C13)</f>
        <v>ATF - Francouzská jižní území</v>
      </c>
    </row>
    <row r="14" customFormat="false" ht="12.75" hidden="false" customHeight="false" outlineLevel="0" collapsed="false">
      <c r="A14" s="0" t="n">
        <v>10</v>
      </c>
      <c r="B14" s="0" t="s">
        <v>550</v>
      </c>
      <c r="C14" s="0" t="s">
        <v>551</v>
      </c>
      <c r="D14" s="0" t="str">
        <f aca="false">CONCATENATE(B14," - ",C14)</f>
        <v>ATG - Antigua a Barbuda</v>
      </c>
    </row>
    <row r="15" customFormat="false" ht="12.75" hidden="false" customHeight="false" outlineLevel="0" collapsed="false">
      <c r="A15" s="0" t="n">
        <v>242</v>
      </c>
      <c r="B15" s="0" t="s">
        <v>552</v>
      </c>
      <c r="C15" s="0" t="s">
        <v>553</v>
      </c>
      <c r="D15" s="0" t="str">
        <f aca="false">CONCATENATE(B15," - ",C15)</f>
        <v>ATN - Země královny Maud</v>
      </c>
    </row>
    <row r="16" customFormat="false" ht="12.75" hidden="false" customHeight="false" outlineLevel="0" collapsed="false">
      <c r="A16" s="0" t="n">
        <v>14</v>
      </c>
      <c r="B16" s="0" t="s">
        <v>140</v>
      </c>
      <c r="C16" s="0" t="s">
        <v>554</v>
      </c>
      <c r="D16" s="0" t="str">
        <f aca="false">CONCATENATE(B16," - ",C16)</f>
        <v>AUS - Austrálie</v>
      </c>
    </row>
    <row r="17" customFormat="false" ht="12.75" hidden="false" customHeight="false" outlineLevel="0" collapsed="false">
      <c r="A17" s="0" t="n">
        <v>173</v>
      </c>
      <c r="B17" s="0" t="s">
        <v>207</v>
      </c>
      <c r="C17" s="0" t="s">
        <v>555</v>
      </c>
      <c r="D17" s="0" t="str">
        <f aca="false">CONCATENATE(B17," - ",C17)</f>
        <v>AUT - Rakousko</v>
      </c>
    </row>
    <row r="18" customFormat="false" ht="12.75" hidden="false" customHeight="false" outlineLevel="0" collapsed="false">
      <c r="A18" s="0" t="n">
        <v>15</v>
      </c>
      <c r="B18" s="0" t="s">
        <v>556</v>
      </c>
      <c r="C18" s="0" t="s">
        <v>557</v>
      </c>
      <c r="D18" s="0" t="str">
        <f aca="false">CONCATENATE(B18," - ",C18)</f>
        <v>AZE - Ázerbájdžán</v>
      </c>
    </row>
    <row r="19" customFormat="false" ht="12.75" hidden="false" customHeight="false" outlineLevel="0" collapsed="false">
      <c r="A19" s="0" t="n">
        <v>34</v>
      </c>
      <c r="B19" s="0" t="s">
        <v>558</v>
      </c>
      <c r="C19" s="0" t="s">
        <v>559</v>
      </c>
      <c r="D19" s="0" t="str">
        <f aca="false">CONCATENATE(B19," - ",C19)</f>
        <v>BDI - Burundi</v>
      </c>
    </row>
    <row r="20" customFormat="false" ht="12.75" hidden="false" customHeight="false" outlineLevel="0" collapsed="false">
      <c r="A20" s="0" t="n">
        <v>19</v>
      </c>
      <c r="B20" s="0" t="s">
        <v>560</v>
      </c>
      <c r="C20" s="0" t="s">
        <v>561</v>
      </c>
      <c r="D20" s="0" t="str">
        <f aca="false">CONCATENATE(B20," - ",C20)</f>
        <v>BEL - Belgie</v>
      </c>
    </row>
    <row r="21" customFormat="false" ht="12.75" hidden="false" customHeight="false" outlineLevel="0" collapsed="false">
      <c r="A21" s="0" t="n">
        <v>22</v>
      </c>
      <c r="B21" s="0" t="s">
        <v>562</v>
      </c>
      <c r="C21" s="0" t="s">
        <v>563</v>
      </c>
      <c r="D21" s="0" t="str">
        <f aca="false">CONCATENATE(B21," - ",C21)</f>
        <v>BEN - Benin</v>
      </c>
    </row>
    <row r="22" customFormat="false" ht="12.75" hidden="false" customHeight="false" outlineLevel="0" collapsed="false">
      <c r="A22" s="0" t="n">
        <v>280</v>
      </c>
      <c r="B22" s="0" t="s">
        <v>564</v>
      </c>
      <c r="C22" s="0" t="s">
        <v>565</v>
      </c>
      <c r="D22" s="0" t="str">
        <f aca="false">CONCATENATE(B22," - ",C22)</f>
        <v>BES - Bonaire, Saint Eustatius and Saba</v>
      </c>
    </row>
    <row r="23" customFormat="false" ht="12.75" hidden="false" customHeight="false" outlineLevel="0" collapsed="false">
      <c r="A23" s="0" t="n">
        <v>33</v>
      </c>
      <c r="B23" s="0" t="s">
        <v>566</v>
      </c>
      <c r="C23" s="0" t="s">
        <v>567</v>
      </c>
      <c r="D23" s="0" t="str">
        <f aca="false">CONCATENATE(B23," - ",C23)</f>
        <v>BFA - Burkina Faso</v>
      </c>
    </row>
    <row r="24" customFormat="false" ht="12.75" hidden="false" customHeight="false" outlineLevel="0" collapsed="false">
      <c r="A24" s="0" t="n">
        <v>106</v>
      </c>
      <c r="B24" s="0" t="s">
        <v>568</v>
      </c>
      <c r="C24" s="0" t="s">
        <v>569</v>
      </c>
      <c r="D24" s="0" t="str">
        <f aca="false">CONCATENATE(B24," - ",C24)</f>
        <v>BGD - Bangladéš</v>
      </c>
    </row>
    <row r="25" customFormat="false" ht="12.75" hidden="false" customHeight="false" outlineLevel="0" collapsed="false">
      <c r="A25" s="0" t="n">
        <v>32</v>
      </c>
      <c r="B25" s="0" t="s">
        <v>570</v>
      </c>
      <c r="C25" s="0" t="s">
        <v>571</v>
      </c>
      <c r="D25" s="0" t="str">
        <f aca="false">CONCATENATE(B25," - ",C25)</f>
        <v>BGR - Bulharsko</v>
      </c>
    </row>
    <row r="26" customFormat="false" ht="12.75" hidden="false" customHeight="false" outlineLevel="0" collapsed="false">
      <c r="A26" s="0" t="n">
        <v>17</v>
      </c>
      <c r="B26" s="0" t="s">
        <v>572</v>
      </c>
      <c r="C26" s="0" t="s">
        <v>573</v>
      </c>
      <c r="D26" s="0" t="str">
        <f aca="false">CONCATENATE(B26," - ",C26)</f>
        <v>BHR - Bahrajn</v>
      </c>
    </row>
    <row r="27" customFormat="false" ht="12.75" hidden="false" customHeight="false" outlineLevel="0" collapsed="false">
      <c r="A27" s="0" t="n">
        <v>16</v>
      </c>
      <c r="B27" s="0" t="s">
        <v>574</v>
      </c>
      <c r="C27" s="0" t="s">
        <v>575</v>
      </c>
      <c r="D27" s="0" t="str">
        <f aca="false">CONCATENATE(B27," - ",C27)</f>
        <v>BHS - Bahamy</v>
      </c>
    </row>
    <row r="28" customFormat="false" ht="12.75" hidden="false" customHeight="false" outlineLevel="0" collapsed="false">
      <c r="A28" s="0" t="n">
        <v>26</v>
      </c>
      <c r="B28" s="0" t="s">
        <v>576</v>
      </c>
      <c r="C28" s="0" t="s">
        <v>577</v>
      </c>
      <c r="D28" s="0" t="str">
        <f aca="false">CONCATENATE(B28," - ",C28)</f>
        <v>BIH - Bosna a Hercegovina</v>
      </c>
    </row>
    <row r="29" customFormat="false" ht="12.75" hidden="false" customHeight="false" outlineLevel="0" collapsed="false">
      <c r="A29" s="0" t="n">
        <v>278</v>
      </c>
      <c r="B29" s="0" t="s">
        <v>578</v>
      </c>
      <c r="C29" s="0" t="s">
        <v>579</v>
      </c>
      <c r="D29" s="0" t="str">
        <f aca="false">CONCATENATE(B29," - ",C29)</f>
        <v>BLM - Saint Barthélemy</v>
      </c>
    </row>
    <row r="30" customFormat="false" ht="12.75" hidden="false" customHeight="false" outlineLevel="0" collapsed="false">
      <c r="A30" s="0" t="n">
        <v>21</v>
      </c>
      <c r="B30" s="0" t="s">
        <v>580</v>
      </c>
      <c r="C30" s="0" t="s">
        <v>581</v>
      </c>
      <c r="D30" s="0" t="str">
        <f aca="false">CONCATENATE(B30," - ",C30)</f>
        <v>BLR - Bělorusko</v>
      </c>
    </row>
    <row r="31" customFormat="false" ht="12.75" hidden="false" customHeight="false" outlineLevel="0" collapsed="false">
      <c r="A31" s="0" t="n">
        <v>20</v>
      </c>
      <c r="B31" s="0" t="s">
        <v>582</v>
      </c>
      <c r="C31" s="0" t="s">
        <v>583</v>
      </c>
      <c r="D31" s="0" t="str">
        <f aca="false">CONCATENATE(B31," - ",C31)</f>
        <v>BLZ - Belize</v>
      </c>
    </row>
    <row r="32" customFormat="false" ht="12.75" hidden="false" customHeight="false" outlineLevel="0" collapsed="false">
      <c r="A32" s="0" t="n">
        <v>23</v>
      </c>
      <c r="B32" s="0" t="s">
        <v>584</v>
      </c>
      <c r="C32" s="0" t="s">
        <v>585</v>
      </c>
      <c r="D32" s="0" t="str">
        <f aca="false">CONCATENATE(B32," - ",C32)</f>
        <v>BMU - Bermudy</v>
      </c>
    </row>
    <row r="33" customFormat="false" ht="12.75" hidden="false" customHeight="false" outlineLevel="0" collapsed="false">
      <c r="A33" s="0" t="n">
        <v>25</v>
      </c>
      <c r="B33" s="0" t="s">
        <v>586</v>
      </c>
      <c r="C33" s="0" t="s">
        <v>587</v>
      </c>
      <c r="D33" s="0" t="str">
        <f aca="false">CONCATENATE(B33," - ",C33)</f>
        <v>BOL - Bolívie</v>
      </c>
    </row>
    <row r="34" customFormat="false" ht="12.75" hidden="false" customHeight="false" outlineLevel="0" collapsed="false">
      <c r="A34" s="0" t="n">
        <v>29</v>
      </c>
      <c r="B34" s="0" t="s">
        <v>134</v>
      </c>
      <c r="C34" s="0" t="s">
        <v>588</v>
      </c>
      <c r="D34" s="0" t="str">
        <f aca="false">CONCATENATE(B34," - ",C34)</f>
        <v>BRA - Brazílie</v>
      </c>
    </row>
    <row r="35" customFormat="false" ht="12.75" hidden="false" customHeight="false" outlineLevel="0" collapsed="false">
      <c r="A35" s="0" t="n">
        <v>18</v>
      </c>
      <c r="B35" s="0" t="s">
        <v>589</v>
      </c>
      <c r="C35" s="0" t="s">
        <v>590</v>
      </c>
      <c r="D35" s="0" t="str">
        <f aca="false">CONCATENATE(B35," - ",C35)</f>
        <v>BRB - Barbados</v>
      </c>
    </row>
    <row r="36" customFormat="false" ht="12.75" hidden="false" customHeight="false" outlineLevel="0" collapsed="false">
      <c r="A36" s="0" t="n">
        <v>31</v>
      </c>
      <c r="B36" s="0" t="s">
        <v>591</v>
      </c>
      <c r="C36" s="0" t="s">
        <v>592</v>
      </c>
      <c r="D36" s="0" t="str">
        <f aca="false">CONCATENATE(B36," - ",C36)</f>
        <v>BRN - Brunej Darussalam</v>
      </c>
    </row>
    <row r="37" customFormat="false" ht="12.75" hidden="false" customHeight="false" outlineLevel="0" collapsed="false">
      <c r="A37" s="0" t="n">
        <v>24</v>
      </c>
      <c r="B37" s="0" t="s">
        <v>593</v>
      </c>
      <c r="C37" s="0" t="s">
        <v>594</v>
      </c>
      <c r="D37" s="0" t="str">
        <f aca="false">CONCATENATE(B37," - ",C37)</f>
        <v>BTN - Bhútán</v>
      </c>
    </row>
    <row r="38" customFormat="false" ht="12.75" hidden="false" customHeight="false" outlineLevel="0" collapsed="false">
      <c r="A38" s="0" t="n">
        <v>28</v>
      </c>
      <c r="B38" s="0" t="s">
        <v>595</v>
      </c>
      <c r="C38" s="0" t="s">
        <v>596</v>
      </c>
      <c r="D38" s="0" t="str">
        <f aca="false">CONCATENATE(B38," - ",C38)</f>
        <v>BVT - Bouvetův ostrov</v>
      </c>
    </row>
    <row r="39" customFormat="false" ht="12.75" hidden="false" customHeight="false" outlineLevel="0" collapsed="false">
      <c r="A39" s="0" t="n">
        <v>27</v>
      </c>
      <c r="B39" s="0" t="s">
        <v>597</v>
      </c>
      <c r="C39" s="0" t="s">
        <v>598</v>
      </c>
      <c r="D39" s="0" t="str">
        <f aca="false">CONCATENATE(B39," - ",C39)</f>
        <v>BWA - Botswana</v>
      </c>
    </row>
    <row r="40" customFormat="false" ht="12.75" hidden="false" customHeight="false" outlineLevel="0" collapsed="false">
      <c r="A40" s="0" t="n">
        <v>99</v>
      </c>
      <c r="B40" s="0" t="s">
        <v>599</v>
      </c>
      <c r="C40" s="0" t="s">
        <v>600</v>
      </c>
      <c r="D40" s="0" t="str">
        <f aca="false">CONCATENATE(B40," - ",C40)</f>
        <v>CAF - Středoafrická republika</v>
      </c>
    </row>
    <row r="41" customFormat="false" ht="12.75" hidden="false" customHeight="false" outlineLevel="0" collapsed="false">
      <c r="A41" s="0" t="n">
        <v>85</v>
      </c>
      <c r="B41" s="0" t="s">
        <v>385</v>
      </c>
      <c r="C41" s="0" t="s">
        <v>601</v>
      </c>
      <c r="D41" s="0" t="str">
        <f aca="false">CONCATENATE(B41," - ",C41)</f>
        <v>CAN - Kanada</v>
      </c>
    </row>
    <row r="42" customFormat="false" ht="12.75" hidden="false" customHeight="false" outlineLevel="0" collapsed="false">
      <c r="A42" s="0" t="n">
        <v>200</v>
      </c>
      <c r="B42" s="0" t="s">
        <v>602</v>
      </c>
      <c r="C42" s="0" t="s">
        <v>603</v>
      </c>
      <c r="D42" s="0" t="str">
        <f aca="false">CONCATENATE(B42," - ",C42)</f>
        <v>CCK - Kokosové ostrovy</v>
      </c>
    </row>
    <row r="43" customFormat="false" ht="12.75" hidden="false" customHeight="false" outlineLevel="0" collapsed="false">
      <c r="A43" s="0" t="n">
        <v>170</v>
      </c>
      <c r="B43" s="0" t="s">
        <v>604</v>
      </c>
      <c r="C43" s="0" t="s">
        <v>605</v>
      </c>
      <c r="D43" s="0" t="str">
        <f aca="false">CONCATENATE(B43," - ",C43)</f>
        <v>CIV - Pobřeží slonoviny</v>
      </c>
    </row>
    <row r="44" customFormat="false" ht="12.75" hidden="false" customHeight="false" outlineLevel="0" collapsed="false">
      <c r="A44" s="0" t="n">
        <v>84</v>
      </c>
      <c r="B44" s="0" t="s">
        <v>606</v>
      </c>
      <c r="C44" s="0" t="s">
        <v>607</v>
      </c>
      <c r="D44" s="0" t="str">
        <f aca="false">CONCATENATE(B44," - ",C44)</f>
        <v>CMR - Kamerun</v>
      </c>
    </row>
    <row r="45" customFormat="false" ht="12.75" hidden="false" customHeight="false" outlineLevel="0" collapsed="false">
      <c r="A45" s="0" t="n">
        <v>93</v>
      </c>
      <c r="B45" s="0" t="s">
        <v>608</v>
      </c>
      <c r="C45" s="0" t="s">
        <v>609</v>
      </c>
      <c r="D45" s="0" t="str">
        <f aca="false">CONCATENATE(B45," - ",C45)</f>
        <v>COD - Kongo, demokratická republika</v>
      </c>
    </row>
    <row r="46" customFormat="false" ht="12.75" hidden="false" customHeight="false" outlineLevel="0" collapsed="false">
      <c r="A46" s="0" t="n">
        <v>92</v>
      </c>
      <c r="B46" s="0" t="s">
        <v>610</v>
      </c>
      <c r="C46" s="0" t="s">
        <v>611</v>
      </c>
      <c r="D46" s="0" t="str">
        <f aca="false">CONCATENATE(B46," - ",C46)</f>
        <v>COG - Kongo</v>
      </c>
    </row>
    <row r="47" customFormat="false" ht="12.75" hidden="false" customHeight="false" outlineLevel="0" collapsed="false">
      <c r="A47" s="0" t="n">
        <v>36</v>
      </c>
      <c r="B47" s="0" t="s">
        <v>612</v>
      </c>
      <c r="C47" s="0" t="s">
        <v>613</v>
      </c>
      <c r="D47" s="0" t="str">
        <f aca="false">CONCATENATE(B47," - ",C47)</f>
        <v>COK - Cookovy ostrovy</v>
      </c>
    </row>
    <row r="48" customFormat="false" ht="12.75" hidden="false" customHeight="false" outlineLevel="0" collapsed="false">
      <c r="A48" s="0" t="n">
        <v>90</v>
      </c>
      <c r="B48" s="0" t="s">
        <v>614</v>
      </c>
      <c r="C48" s="0" t="s">
        <v>615</v>
      </c>
      <c r="D48" s="0" t="str">
        <f aca="false">CONCATENATE(B48," - ",C48)</f>
        <v>COL - Kolumbie</v>
      </c>
    </row>
    <row r="49" customFormat="false" ht="12.75" hidden="false" customHeight="false" outlineLevel="0" collapsed="false">
      <c r="A49" s="0" t="n">
        <v>91</v>
      </c>
      <c r="B49" s="0" t="s">
        <v>616</v>
      </c>
      <c r="C49" s="0" t="s">
        <v>617</v>
      </c>
      <c r="D49" s="0" t="str">
        <f aca="false">CONCATENATE(B49," - ",C49)</f>
        <v>COM - Komory</v>
      </c>
    </row>
    <row r="50" customFormat="false" ht="12.75" hidden="false" customHeight="false" outlineLevel="0" collapsed="false">
      <c r="A50" s="0" t="n">
        <v>86</v>
      </c>
      <c r="B50" s="0" t="s">
        <v>618</v>
      </c>
      <c r="C50" s="0" t="s">
        <v>619</v>
      </c>
      <c r="D50" s="0" t="str">
        <f aca="false">CONCATENATE(B50," - ",C50)</f>
        <v>CPV - Kapverdy</v>
      </c>
    </row>
    <row r="51" customFormat="false" ht="12.75" hidden="false" customHeight="false" outlineLevel="0" collapsed="false">
      <c r="A51" s="0" t="n">
        <v>114</v>
      </c>
      <c r="B51" s="0" t="s">
        <v>620</v>
      </c>
      <c r="C51" s="0" t="s">
        <v>621</v>
      </c>
      <c r="D51" s="0" t="str">
        <f aca="false">CONCATENATE(B51," - ",C51)</f>
        <v>CRI - Kostarika</v>
      </c>
    </row>
    <row r="52" customFormat="false" ht="12.75" hidden="false" customHeight="false" outlineLevel="0" collapsed="false">
      <c r="A52" s="0" t="n">
        <v>115</v>
      </c>
      <c r="B52" s="0" t="s">
        <v>622</v>
      </c>
      <c r="C52" s="0" t="s">
        <v>623</v>
      </c>
      <c r="D52" s="0" t="str">
        <f aca="false">CONCATENATE(B52," - ",C52)</f>
        <v>CUB - Kuba</v>
      </c>
    </row>
    <row r="53" customFormat="false" ht="12.75" hidden="false" customHeight="false" outlineLevel="0" collapsed="false">
      <c r="A53" s="0" t="n">
        <v>281</v>
      </c>
      <c r="B53" s="0" t="s">
        <v>624</v>
      </c>
      <c r="C53" s="0" t="s">
        <v>625</v>
      </c>
      <c r="D53" s="0" t="str">
        <f aca="false">CONCATENATE(B53," - ",C53)</f>
        <v>CUW - Curaçao</v>
      </c>
    </row>
    <row r="54" customFormat="false" ht="12.75" hidden="false" customHeight="false" outlineLevel="0" collapsed="false">
      <c r="A54" s="0" t="n">
        <v>234</v>
      </c>
      <c r="B54" s="0" t="s">
        <v>626</v>
      </c>
      <c r="C54" s="0" t="s">
        <v>627</v>
      </c>
      <c r="D54" s="0" t="str">
        <f aca="false">CONCATENATE(B54," - ",C54)</f>
        <v>CXR - Vánoční ostrov</v>
      </c>
    </row>
    <row r="55" customFormat="false" ht="12.75" hidden="false" customHeight="false" outlineLevel="0" collapsed="false">
      <c r="A55" s="0" t="n">
        <v>82</v>
      </c>
      <c r="B55" s="0" t="s">
        <v>628</v>
      </c>
      <c r="C55" s="0" t="s">
        <v>629</v>
      </c>
      <c r="D55" s="0" t="str">
        <f aca="false">CONCATENATE(B55," - ",C55)</f>
        <v>CYM - Kajmanské ostrovy</v>
      </c>
    </row>
    <row r="56" customFormat="false" ht="12.75" hidden="false" customHeight="false" outlineLevel="0" collapsed="false">
      <c r="A56" s="0" t="n">
        <v>117</v>
      </c>
      <c r="B56" s="0" t="s">
        <v>630</v>
      </c>
      <c r="C56" s="0" t="s">
        <v>631</v>
      </c>
      <c r="D56" s="0" t="str">
        <f aca="false">CONCATENATE(B56," - ",C56)</f>
        <v>CYP - Kypr</v>
      </c>
    </row>
    <row r="57" customFormat="false" ht="12.75" hidden="false" customHeight="false" outlineLevel="0" collapsed="false">
      <c r="A57" s="0" t="n">
        <v>152</v>
      </c>
      <c r="B57" s="0" t="s">
        <v>115</v>
      </c>
      <c r="C57" s="0" t="s">
        <v>632</v>
      </c>
      <c r="D57" s="0" t="str">
        <f aca="false">CONCATENATE(B57," - ",C57)</f>
        <v>DEU - Německo</v>
      </c>
    </row>
    <row r="58" customFormat="false" ht="12.75" hidden="false" customHeight="false" outlineLevel="0" collapsed="false">
      <c r="A58" s="0" t="n">
        <v>42</v>
      </c>
      <c r="B58" s="0" t="s">
        <v>633</v>
      </c>
      <c r="C58" s="0" t="s">
        <v>634</v>
      </c>
      <c r="D58" s="0" t="str">
        <f aca="false">CONCATENATE(B58," - ",C58)</f>
        <v>DJI - Džibutsko</v>
      </c>
    </row>
    <row r="59" customFormat="false" ht="12.75" hidden="false" customHeight="false" outlineLevel="0" collapsed="false">
      <c r="A59" s="0" t="n">
        <v>41</v>
      </c>
      <c r="B59" s="0" t="s">
        <v>635</v>
      </c>
      <c r="C59" s="0" t="s">
        <v>636</v>
      </c>
      <c r="D59" s="0" t="str">
        <f aca="false">CONCATENATE(B59," - ",C59)</f>
        <v>DMA - Dominika</v>
      </c>
    </row>
    <row r="60" customFormat="false" ht="12.75" hidden="false" customHeight="false" outlineLevel="0" collapsed="false">
      <c r="A60" s="0" t="n">
        <v>40</v>
      </c>
      <c r="B60" s="0" t="s">
        <v>637</v>
      </c>
      <c r="C60" s="0" t="s">
        <v>638</v>
      </c>
      <c r="D60" s="0" t="str">
        <f aca="false">CONCATENATE(B60," - ",C60)</f>
        <v>DNK - Dánsko</v>
      </c>
    </row>
    <row r="61" customFormat="false" ht="12.75" hidden="false" customHeight="false" outlineLevel="0" collapsed="false">
      <c r="A61" s="0" t="n">
        <v>193</v>
      </c>
      <c r="B61" s="0" t="s">
        <v>639</v>
      </c>
      <c r="C61" s="0" t="s">
        <v>640</v>
      </c>
      <c r="D61" s="0" t="str">
        <f aca="false">CONCATENATE(B61," - ",C61)</f>
        <v>DOM - Dominikánská republika</v>
      </c>
    </row>
    <row r="62" customFormat="false" ht="12.75" hidden="false" customHeight="false" outlineLevel="0" collapsed="false">
      <c r="A62" s="0" t="n">
        <v>3</v>
      </c>
      <c r="B62" s="0" t="s">
        <v>641</v>
      </c>
      <c r="C62" s="0" t="s">
        <v>642</v>
      </c>
      <c r="D62" s="0" t="str">
        <f aca="false">CONCATENATE(B62," - ",C62)</f>
        <v>DZA - Alžírsko</v>
      </c>
    </row>
    <row r="63" customFormat="false" ht="12.75" hidden="false" customHeight="false" outlineLevel="0" collapsed="false">
      <c r="A63" s="0" t="n">
        <v>44</v>
      </c>
      <c r="B63" s="0" t="s">
        <v>643</v>
      </c>
      <c r="C63" s="0" t="s">
        <v>644</v>
      </c>
      <c r="D63" s="0" t="str">
        <f aca="false">CONCATENATE(B63," - ",C63)</f>
        <v>ECU - Ekvádor</v>
      </c>
    </row>
    <row r="64" customFormat="false" ht="12.75" hidden="false" customHeight="false" outlineLevel="0" collapsed="false">
      <c r="A64" s="0" t="n">
        <v>43</v>
      </c>
      <c r="B64" s="0" t="s">
        <v>331</v>
      </c>
      <c r="C64" s="0" t="s">
        <v>645</v>
      </c>
      <c r="D64" s="0" t="str">
        <f aca="false">CONCATENATE(B64," - ",C64)</f>
        <v>EGY - Egypt</v>
      </c>
    </row>
    <row r="65" customFormat="false" ht="12.75" hidden="false" customHeight="false" outlineLevel="0" collapsed="false">
      <c r="A65" s="0" t="n">
        <v>45</v>
      </c>
      <c r="B65" s="0" t="s">
        <v>646</v>
      </c>
      <c r="C65" s="0" t="s">
        <v>647</v>
      </c>
      <c r="D65" s="0" t="str">
        <f aca="false">CONCATENATE(B65," - ",C65)</f>
        <v>ERI - Eritrea</v>
      </c>
    </row>
    <row r="66" customFormat="false" ht="12.75" hidden="false" customHeight="false" outlineLevel="0" collapsed="false">
      <c r="A66" s="0" t="n">
        <v>96</v>
      </c>
      <c r="B66" s="0" t="s">
        <v>648</v>
      </c>
      <c r="C66" s="0" t="s">
        <v>649</v>
      </c>
      <c r="D66" s="0" t="str">
        <f aca="false">CONCATENATE(B66," - ",C66)</f>
        <v>ESH - Západní Sahara</v>
      </c>
    </row>
    <row r="67" customFormat="false" ht="12.75" hidden="false" customHeight="false" outlineLevel="0" collapsed="false">
      <c r="A67" s="0" t="n">
        <v>214</v>
      </c>
      <c r="B67" s="0" t="s">
        <v>650</v>
      </c>
      <c r="C67" s="0" t="s">
        <v>651</v>
      </c>
      <c r="D67" s="0" t="str">
        <f aca="false">CONCATENATE(B67," - ",C67)</f>
        <v>ESP - Španělsko</v>
      </c>
    </row>
    <row r="68" customFormat="false" ht="12.75" hidden="false" customHeight="false" outlineLevel="0" collapsed="false">
      <c r="A68" s="0" t="n">
        <v>46</v>
      </c>
      <c r="B68" s="0" t="s">
        <v>652</v>
      </c>
      <c r="C68" s="0" t="s">
        <v>653</v>
      </c>
      <c r="D68" s="0" t="str">
        <f aca="false">CONCATENATE(B68," - ",C68)</f>
        <v>EST - Estonsko</v>
      </c>
    </row>
    <row r="69" customFormat="false" ht="12.75" hidden="false" customHeight="false" outlineLevel="0" collapsed="false">
      <c r="A69" s="0" t="n">
        <v>47</v>
      </c>
      <c r="B69" s="0" t="s">
        <v>654</v>
      </c>
      <c r="C69" s="0" t="s">
        <v>655</v>
      </c>
      <c r="D69" s="0" t="str">
        <f aca="false">CONCATENATE(B69," - ",C69)</f>
        <v>ETH - Etiopie</v>
      </c>
    </row>
    <row r="70" customFormat="false" ht="12.75" hidden="false" customHeight="false" outlineLevel="0" collapsed="false">
      <c r="A70" s="0" t="n">
        <v>52</v>
      </c>
      <c r="B70" s="0" t="s">
        <v>656</v>
      </c>
      <c r="C70" s="0" t="s">
        <v>657</v>
      </c>
      <c r="D70" s="0" t="str">
        <f aca="false">CONCATENATE(B70," - ",C70)</f>
        <v>FIN - Finsko</v>
      </c>
    </row>
    <row r="71" customFormat="false" ht="12.75" hidden="false" customHeight="false" outlineLevel="0" collapsed="false">
      <c r="A71" s="0" t="n">
        <v>50</v>
      </c>
      <c r="B71" s="0" t="s">
        <v>658</v>
      </c>
      <c r="C71" s="0" t="s">
        <v>659</v>
      </c>
      <c r="D71" s="0" t="str">
        <f aca="false">CONCATENATE(B71," - ",C71)</f>
        <v>FJI - Fidži</v>
      </c>
    </row>
    <row r="72" customFormat="false" ht="12.75" hidden="false" customHeight="false" outlineLevel="0" collapsed="false">
      <c r="A72" s="0" t="n">
        <v>49</v>
      </c>
      <c r="B72" s="0" t="s">
        <v>660</v>
      </c>
      <c r="C72" s="0" t="s">
        <v>661</v>
      </c>
      <c r="D72" s="0" t="str">
        <f aca="false">CONCATENATE(B72," - ",C72)</f>
        <v>FLK - Falklandy</v>
      </c>
    </row>
    <row r="73" customFormat="false" ht="12.75" hidden="false" customHeight="false" outlineLevel="0" collapsed="false">
      <c r="A73" s="0" t="n">
        <v>194</v>
      </c>
      <c r="B73" s="0" t="s">
        <v>662</v>
      </c>
      <c r="C73" s="0" t="s">
        <v>663</v>
      </c>
      <c r="D73" s="0" t="str">
        <f aca="false">CONCATENATE(B73," - ",C73)</f>
        <v>FRA - Francie</v>
      </c>
    </row>
    <row r="74" customFormat="false" ht="12.75" hidden="false" customHeight="false" outlineLevel="0" collapsed="false">
      <c r="A74" s="0" t="n">
        <v>48</v>
      </c>
      <c r="B74" s="0" t="s">
        <v>664</v>
      </c>
      <c r="C74" s="0" t="s">
        <v>665</v>
      </c>
      <c r="D74" s="0" t="str">
        <f aca="false">CONCATENATE(B74," - ",C74)</f>
        <v>FRO - Faerské ostrovy</v>
      </c>
    </row>
    <row r="75" customFormat="false" ht="12.75" hidden="false" customHeight="false" outlineLevel="0" collapsed="false">
      <c r="A75" s="0" t="n">
        <v>144</v>
      </c>
      <c r="B75" s="0" t="s">
        <v>666</v>
      </c>
      <c r="C75" s="0" t="s">
        <v>667</v>
      </c>
      <c r="D75" s="0" t="str">
        <f aca="false">CONCATENATE(B75," - ",C75)</f>
        <v>FSM - Mikronésie</v>
      </c>
    </row>
    <row r="76" customFormat="false" ht="12.75" hidden="false" customHeight="false" outlineLevel="0" collapsed="false">
      <c r="A76" s="0" t="n">
        <v>263</v>
      </c>
      <c r="B76" s="0" t="s">
        <v>668</v>
      </c>
      <c r="C76" s="0" t="s">
        <v>669</v>
      </c>
      <c r="D76" s="0" t="str">
        <f aca="false">CONCATENATE(B76," - ",C76)</f>
        <v>FXX - Francie metropolitní</v>
      </c>
    </row>
    <row r="77" customFormat="false" ht="12.75" hidden="false" customHeight="false" outlineLevel="0" collapsed="false">
      <c r="A77" s="0" t="n">
        <v>55</v>
      </c>
      <c r="B77" s="0" t="s">
        <v>670</v>
      </c>
      <c r="C77" s="0" t="s">
        <v>671</v>
      </c>
      <c r="D77" s="0" t="str">
        <f aca="false">CONCATENATE(B77," - ",C77)</f>
        <v>GAB - Gabon</v>
      </c>
    </row>
    <row r="78" customFormat="false" ht="12.75" hidden="false" customHeight="false" outlineLevel="0" collapsed="false">
      <c r="A78" s="0" t="n">
        <v>243</v>
      </c>
      <c r="B78" s="0" t="s">
        <v>672</v>
      </c>
      <c r="C78" s="0" t="s">
        <v>673</v>
      </c>
      <c r="D78" s="0" t="str">
        <f aca="false">CONCATENATE(B78," - ",C78)</f>
        <v>GBD - britská závislá území</v>
      </c>
    </row>
    <row r="79" customFormat="false" ht="12.75" hidden="false" customHeight="false" outlineLevel="0" collapsed="false">
      <c r="A79" s="0" t="n">
        <v>264</v>
      </c>
      <c r="B79" s="0" t="s">
        <v>674</v>
      </c>
      <c r="C79" s="0" t="s">
        <v>675</v>
      </c>
      <c r="D79" s="0" t="str">
        <f aca="false">CONCATENATE(B79," - ",C79)</f>
        <v>GBN - britská zámořská národnost</v>
      </c>
    </row>
    <row r="80" customFormat="false" ht="12.75" hidden="false" customHeight="false" outlineLevel="0" collapsed="false">
      <c r="A80" s="0" t="n">
        <v>244</v>
      </c>
      <c r="B80" s="0" t="s">
        <v>676</v>
      </c>
      <c r="C80" s="0" t="s">
        <v>677</v>
      </c>
      <c r="D80" s="0" t="str">
        <f aca="false">CONCATENATE(B80," - ",C80)</f>
        <v>GBO - britské zámořské území</v>
      </c>
    </row>
    <row r="81" customFormat="false" ht="12.75" hidden="false" customHeight="false" outlineLevel="0" collapsed="false">
      <c r="A81" s="0" t="n">
        <v>265</v>
      </c>
      <c r="B81" s="0" t="s">
        <v>678</v>
      </c>
      <c r="C81" s="0" t="s">
        <v>679</v>
      </c>
      <c r="D81" s="0" t="str">
        <f aca="false">CONCATENATE(B81," - ",C81)</f>
        <v>GBP - britské chráněné osoby</v>
      </c>
    </row>
    <row r="82" customFormat="false" ht="12.75" hidden="false" customHeight="false" outlineLevel="0" collapsed="false">
      <c r="A82" s="0" t="n">
        <v>189</v>
      </c>
      <c r="B82" s="0" t="s">
        <v>77</v>
      </c>
      <c r="C82" s="0" t="s">
        <v>680</v>
      </c>
      <c r="D82" s="0" t="str">
        <f aca="false">CONCATENATE(B82," - ",C82)</f>
        <v>GBR - Spojené království</v>
      </c>
    </row>
    <row r="83" customFormat="false" ht="12.75" hidden="false" customHeight="false" outlineLevel="0" collapsed="false">
      <c r="A83" s="0" t="n">
        <v>245</v>
      </c>
      <c r="B83" s="0" t="s">
        <v>681</v>
      </c>
      <c r="C83" s="0" t="s">
        <v>682</v>
      </c>
      <c r="D83" s="0" t="str">
        <f aca="false">CONCATENATE(B83," - ",C83)</f>
        <v>GBS - Britský subjekt</v>
      </c>
    </row>
    <row r="84" customFormat="false" ht="12.75" hidden="false" customHeight="false" outlineLevel="0" collapsed="false">
      <c r="A84" s="0" t="n">
        <v>59</v>
      </c>
      <c r="B84" s="0" t="s">
        <v>683</v>
      </c>
      <c r="C84" s="0" t="s">
        <v>684</v>
      </c>
      <c r="D84" s="0" t="str">
        <f aca="false">CONCATENATE(B84," - ",C84)</f>
        <v>GEO - Gruzie</v>
      </c>
    </row>
    <row r="85" customFormat="false" ht="12.75" hidden="false" customHeight="false" outlineLevel="0" collapsed="false">
      <c r="A85" s="0" t="n">
        <v>57</v>
      </c>
      <c r="B85" s="0" t="s">
        <v>685</v>
      </c>
      <c r="C85" s="0" t="s">
        <v>686</v>
      </c>
      <c r="D85" s="0" t="str">
        <f aca="false">CONCATENATE(B85," - ",C85)</f>
        <v>GHA - Ghana</v>
      </c>
    </row>
    <row r="86" customFormat="false" ht="12.75" hidden="false" customHeight="false" outlineLevel="0" collapsed="false">
      <c r="A86" s="0" t="n">
        <v>195</v>
      </c>
      <c r="B86" s="0" t="s">
        <v>687</v>
      </c>
      <c r="C86" s="0" t="s">
        <v>688</v>
      </c>
      <c r="D86" s="0" t="str">
        <f aca="false">CONCATENATE(B86," - ",C86)</f>
        <v>GIB - Gibraltar</v>
      </c>
    </row>
    <row r="87" customFormat="false" ht="12.75" hidden="false" customHeight="false" outlineLevel="0" collapsed="false">
      <c r="A87" s="0" t="n">
        <v>62</v>
      </c>
      <c r="B87" s="0" t="s">
        <v>689</v>
      </c>
      <c r="C87" s="0" t="s">
        <v>690</v>
      </c>
      <c r="D87" s="0" t="str">
        <f aca="false">CONCATENATE(B87," - ",C87)</f>
        <v>GIN - Guinea</v>
      </c>
    </row>
    <row r="88" customFormat="false" ht="12.75" hidden="false" customHeight="false" outlineLevel="0" collapsed="false">
      <c r="A88" s="0" t="n">
        <v>266</v>
      </c>
      <c r="B88" s="0" t="s">
        <v>691</v>
      </c>
      <c r="C88" s="0" t="s">
        <v>692</v>
      </c>
      <c r="D88" s="0" t="str">
        <f aca="false">CONCATENATE(B88," - ",C88)</f>
        <v>GLP - Guadeloupe</v>
      </c>
    </row>
    <row r="89" customFormat="false" ht="12.75" hidden="false" customHeight="false" outlineLevel="0" collapsed="false">
      <c r="A89" s="0" t="n">
        <v>56</v>
      </c>
      <c r="B89" s="0" t="s">
        <v>693</v>
      </c>
      <c r="C89" s="0" t="s">
        <v>694</v>
      </c>
      <c r="D89" s="0" t="str">
        <f aca="false">CONCATENATE(B89," - ",C89)</f>
        <v>GMB - Gambie</v>
      </c>
    </row>
    <row r="90" customFormat="false" ht="12.75" hidden="false" customHeight="false" outlineLevel="0" collapsed="false">
      <c r="A90" s="0" t="n">
        <v>63</v>
      </c>
      <c r="B90" s="0" t="s">
        <v>695</v>
      </c>
      <c r="C90" s="0" t="s">
        <v>696</v>
      </c>
      <c r="D90" s="0" t="str">
        <f aca="false">CONCATENATE(B90," - ",C90)</f>
        <v>GNB - Guinea-Bissau</v>
      </c>
    </row>
    <row r="91" customFormat="false" ht="12.75" hidden="false" customHeight="false" outlineLevel="0" collapsed="false">
      <c r="A91" s="0" t="n">
        <v>174</v>
      </c>
      <c r="B91" s="0" t="s">
        <v>697</v>
      </c>
      <c r="C91" s="0" t="s">
        <v>698</v>
      </c>
      <c r="D91" s="0" t="str">
        <f aca="false">CONCATENATE(B91," - ",C91)</f>
        <v>GNQ - Rovníková Guinea</v>
      </c>
    </row>
    <row r="92" customFormat="false" ht="12.75" hidden="false" customHeight="false" outlineLevel="0" collapsed="false">
      <c r="A92" s="0" t="n">
        <v>177</v>
      </c>
      <c r="B92" s="0" t="s">
        <v>699</v>
      </c>
      <c r="C92" s="0" t="s">
        <v>700</v>
      </c>
      <c r="D92" s="0" t="str">
        <f aca="false">CONCATENATE(B92," - ",C92)</f>
        <v>GRC - Řecko</v>
      </c>
    </row>
    <row r="93" customFormat="false" ht="12.75" hidden="false" customHeight="false" outlineLevel="0" collapsed="false">
      <c r="A93" s="0" t="n">
        <v>58</v>
      </c>
      <c r="B93" s="0" t="s">
        <v>701</v>
      </c>
      <c r="C93" s="0" t="s">
        <v>702</v>
      </c>
      <c r="D93" s="0" t="str">
        <f aca="false">CONCATENATE(B93," - ",C93)</f>
        <v>GRD - Grenada</v>
      </c>
    </row>
    <row r="94" customFormat="false" ht="12.75" hidden="false" customHeight="false" outlineLevel="0" collapsed="false">
      <c r="A94" s="0" t="n">
        <v>107</v>
      </c>
      <c r="B94" s="0" t="s">
        <v>703</v>
      </c>
      <c r="C94" s="0" t="s">
        <v>704</v>
      </c>
      <c r="D94" s="0" t="str">
        <f aca="false">CONCATENATE(B94," - ",C94)</f>
        <v>GRL - Grónsko</v>
      </c>
    </row>
    <row r="95" customFormat="false" ht="12.75" hidden="false" customHeight="false" outlineLevel="0" collapsed="false">
      <c r="A95" s="0" t="n">
        <v>61</v>
      </c>
      <c r="B95" s="0" t="s">
        <v>705</v>
      </c>
      <c r="C95" s="0" t="s">
        <v>706</v>
      </c>
      <c r="D95" s="0" t="str">
        <f aca="false">CONCATENATE(B95," - ",C95)</f>
        <v>GTM - Guatemala</v>
      </c>
    </row>
    <row r="96" customFormat="false" ht="12.75" hidden="false" customHeight="false" outlineLevel="0" collapsed="false">
      <c r="A96" s="0" t="n">
        <v>192</v>
      </c>
      <c r="B96" s="0" t="s">
        <v>707</v>
      </c>
      <c r="C96" s="0" t="s">
        <v>708</v>
      </c>
      <c r="D96" s="0" t="str">
        <f aca="false">CONCATENATE(B96," - ",C96)</f>
        <v>GUF - Francouzská Guyana</v>
      </c>
    </row>
    <row r="97" customFormat="false" ht="12.75" hidden="false" customHeight="false" outlineLevel="0" collapsed="false">
      <c r="A97" s="0" t="n">
        <v>60</v>
      </c>
      <c r="B97" s="0" t="s">
        <v>709</v>
      </c>
      <c r="C97" s="0" t="s">
        <v>710</v>
      </c>
      <c r="D97" s="0" t="str">
        <f aca="false">CONCATENATE(B97," - ",C97)</f>
        <v>GUM - Guam</v>
      </c>
    </row>
    <row r="98" customFormat="false" ht="12.75" hidden="false" customHeight="false" outlineLevel="0" collapsed="false">
      <c r="A98" s="0" t="n">
        <v>196</v>
      </c>
      <c r="B98" s="0" t="s">
        <v>711</v>
      </c>
      <c r="C98" s="0" t="s">
        <v>712</v>
      </c>
      <c r="D98" s="0" t="str">
        <f aca="false">CONCATENATE(B98," - ",C98)</f>
        <v>GUY - Guyana</v>
      </c>
    </row>
    <row r="99" customFormat="false" ht="12.75" hidden="false" customHeight="false" outlineLevel="0" collapsed="false">
      <c r="A99" s="0" t="n">
        <v>67</v>
      </c>
      <c r="B99" s="0" t="s">
        <v>713</v>
      </c>
      <c r="C99" s="0" t="s">
        <v>714</v>
      </c>
      <c r="D99" s="0" t="str">
        <f aca="false">CONCATENATE(B99," - ",C99)</f>
        <v>HKG - Hongkong</v>
      </c>
    </row>
    <row r="100" customFormat="false" ht="12.75" hidden="false" customHeight="false" outlineLevel="0" collapsed="false">
      <c r="A100" s="0" t="n">
        <v>65</v>
      </c>
      <c r="B100" s="0" t="s">
        <v>715</v>
      </c>
      <c r="C100" s="0" t="s">
        <v>716</v>
      </c>
      <c r="D100" s="0" t="str">
        <f aca="false">CONCATENATE(B100," - ",C100)</f>
        <v>HMD - Heardův ostrov a McDonaldovy ostrovy</v>
      </c>
    </row>
    <row r="101" customFormat="false" ht="12.75" hidden="false" customHeight="false" outlineLevel="0" collapsed="false">
      <c r="A101" s="0" t="n">
        <v>66</v>
      </c>
      <c r="B101" s="0" t="s">
        <v>717</v>
      </c>
      <c r="C101" s="0" t="s">
        <v>718</v>
      </c>
      <c r="D101" s="0" t="str">
        <f aca="false">CONCATENATE(B101," - ",C101)</f>
        <v>HND - Honduras</v>
      </c>
    </row>
    <row r="102" customFormat="false" ht="12.75" hidden="false" customHeight="false" outlineLevel="0" collapsed="false">
      <c r="A102" s="0" t="n">
        <v>69</v>
      </c>
      <c r="B102" s="0" t="s">
        <v>342</v>
      </c>
      <c r="C102" s="0" t="s">
        <v>719</v>
      </c>
      <c r="D102" s="0" t="str">
        <f aca="false">CONCATENATE(B102," - ",C102)</f>
        <v>HRV - Chorvatsko</v>
      </c>
    </row>
    <row r="103" customFormat="false" ht="12.75" hidden="false" customHeight="false" outlineLevel="0" collapsed="false">
      <c r="A103" s="0" t="n">
        <v>64</v>
      </c>
      <c r="B103" s="0" t="s">
        <v>720</v>
      </c>
      <c r="C103" s="0" t="s">
        <v>721</v>
      </c>
      <c r="D103" s="0" t="str">
        <f aca="false">CONCATENATE(B103," - ",C103)</f>
        <v>HTI - Haiti</v>
      </c>
    </row>
    <row r="104" customFormat="false" ht="12.75" hidden="false" customHeight="false" outlineLevel="0" collapsed="false">
      <c r="A104" s="0" t="n">
        <v>129</v>
      </c>
      <c r="B104" s="0" t="s">
        <v>162</v>
      </c>
      <c r="C104" s="0" t="s">
        <v>722</v>
      </c>
      <c r="D104" s="0" t="str">
        <f aca="false">CONCATENATE(B104," - ",C104)</f>
        <v>HUN - Maďarsko</v>
      </c>
    </row>
    <row r="105" customFormat="false" ht="12.75" hidden="false" customHeight="false" outlineLevel="0" collapsed="false">
      <c r="A105" s="0" t="n">
        <v>216</v>
      </c>
      <c r="B105" s="0" t="s">
        <v>52</v>
      </c>
      <c r="C105" s="0" t="s">
        <v>723</v>
      </c>
      <c r="D105" s="0" t="str">
        <f aca="false">CONCATENATE(B105," - ",C105)</f>
        <v>CHE - Švýcarsko</v>
      </c>
    </row>
    <row r="106" customFormat="false" ht="12.75" hidden="false" customHeight="false" outlineLevel="0" collapsed="false">
      <c r="A106" s="0" t="n">
        <v>68</v>
      </c>
      <c r="B106" s="0" t="s">
        <v>724</v>
      </c>
      <c r="C106" s="0" t="s">
        <v>725</v>
      </c>
      <c r="D106" s="0" t="str">
        <f aca="false">CONCATENATE(B106," - ",C106)</f>
        <v>CHL - Chile</v>
      </c>
    </row>
    <row r="107" customFormat="false" ht="12.75" hidden="false" customHeight="false" outlineLevel="0" collapsed="false">
      <c r="A107" s="0" t="n">
        <v>39</v>
      </c>
      <c r="B107" s="0" t="s">
        <v>357</v>
      </c>
      <c r="C107" s="0" t="s">
        <v>726</v>
      </c>
      <c r="D107" s="0" t="str">
        <f aca="false">CONCATENATE(B107," - ",C107)</f>
        <v>CHN - Čína</v>
      </c>
    </row>
    <row r="108" customFormat="false" ht="12.75" hidden="false" customHeight="false" outlineLevel="0" collapsed="false">
      <c r="A108" s="0" t="n">
        <v>70</v>
      </c>
      <c r="B108" s="0" t="s">
        <v>727</v>
      </c>
      <c r="C108" s="0" t="s">
        <v>728</v>
      </c>
      <c r="D108" s="0" t="str">
        <f aca="false">CONCATENATE(B108," - ",C108)</f>
        <v>IDN - Indonésie</v>
      </c>
    </row>
    <row r="109" customFormat="false" ht="12.75" hidden="false" customHeight="false" outlineLevel="0" collapsed="false">
      <c r="A109" s="0" t="n">
        <v>246</v>
      </c>
      <c r="B109" s="0" t="s">
        <v>729</v>
      </c>
      <c r="C109" s="0" t="s">
        <v>730</v>
      </c>
      <c r="D109" s="0" t="str">
        <f aca="false">CONCATENATE(B109," - ",C109)</f>
        <v>IMY - ostrov Man</v>
      </c>
    </row>
    <row r="110" customFormat="false" ht="12.75" hidden="false" customHeight="false" outlineLevel="0" collapsed="false">
      <c r="A110" s="0" t="n">
        <v>197</v>
      </c>
      <c r="B110" s="0" t="s">
        <v>491</v>
      </c>
      <c r="C110" s="0" t="s">
        <v>731</v>
      </c>
      <c r="D110" s="0" t="str">
        <f aca="false">CONCATENATE(B110," - ",C110)</f>
        <v>IND - Indie</v>
      </c>
    </row>
    <row r="111" customFormat="false" ht="12.75" hidden="false" customHeight="false" outlineLevel="0" collapsed="false">
      <c r="A111" s="0" t="n">
        <v>30</v>
      </c>
      <c r="B111" s="0" t="s">
        <v>732</v>
      </c>
      <c r="C111" s="0" t="s">
        <v>733</v>
      </c>
      <c r="D111" s="0" t="str">
        <f aca="false">CONCATENATE(B111," - ",C111)</f>
        <v>IOT - Britské indickooceánské území</v>
      </c>
    </row>
    <row r="112" customFormat="false" ht="12.75" hidden="false" customHeight="false" outlineLevel="0" collapsed="false">
      <c r="A112" s="0" t="n">
        <v>73</v>
      </c>
      <c r="B112" s="0" t="s">
        <v>734</v>
      </c>
      <c r="C112" s="0" t="s">
        <v>735</v>
      </c>
      <c r="D112" s="0" t="str">
        <f aca="false">CONCATENATE(B112," - ",C112)</f>
        <v>IRL - Irsko</v>
      </c>
    </row>
    <row r="113" customFormat="false" ht="12.75" hidden="false" customHeight="false" outlineLevel="0" collapsed="false">
      <c r="A113" s="0" t="n">
        <v>72</v>
      </c>
      <c r="B113" s="0" t="s">
        <v>736</v>
      </c>
      <c r="C113" s="0" t="s">
        <v>737</v>
      </c>
      <c r="D113" s="0" t="str">
        <f aca="false">CONCATENATE(B113," - ",C113)</f>
        <v>IRN - Írán</v>
      </c>
    </row>
    <row r="114" customFormat="false" ht="12.75" hidden="false" customHeight="false" outlineLevel="0" collapsed="false">
      <c r="A114" s="0" t="n">
        <v>71</v>
      </c>
      <c r="B114" s="0" t="s">
        <v>738</v>
      </c>
      <c r="C114" s="0" t="s">
        <v>739</v>
      </c>
      <c r="D114" s="0" t="str">
        <f aca="false">CONCATENATE(B114," - ",C114)</f>
        <v>IRQ - Irák</v>
      </c>
    </row>
    <row r="115" customFormat="false" ht="12.75" hidden="false" customHeight="false" outlineLevel="0" collapsed="false">
      <c r="A115" s="0" t="n">
        <v>74</v>
      </c>
      <c r="B115" s="0" t="s">
        <v>740</v>
      </c>
      <c r="C115" s="0" t="s">
        <v>741</v>
      </c>
      <c r="D115" s="0" t="str">
        <f aca="false">CONCATENATE(B115," - ",C115)</f>
        <v>ISL - Island</v>
      </c>
    </row>
    <row r="116" customFormat="false" ht="12.75" hidden="false" customHeight="false" outlineLevel="0" collapsed="false">
      <c r="A116" s="0" t="n">
        <v>76</v>
      </c>
      <c r="B116" s="0" t="s">
        <v>267</v>
      </c>
      <c r="C116" s="0" t="s">
        <v>742</v>
      </c>
      <c r="D116" s="0" t="str">
        <f aca="false">CONCATENATE(B116," - ",C116)</f>
        <v>ISR - Izrael</v>
      </c>
    </row>
    <row r="117" customFormat="false" ht="12.75" hidden="false" customHeight="false" outlineLevel="0" collapsed="false">
      <c r="A117" s="0" t="n">
        <v>75</v>
      </c>
      <c r="B117" s="0" t="s">
        <v>743</v>
      </c>
      <c r="C117" s="0" t="s">
        <v>744</v>
      </c>
      <c r="D117" s="0" t="str">
        <f aca="false">CONCATENATE(B117," - ",C117)</f>
        <v>ITA - Itálie</v>
      </c>
    </row>
    <row r="118" customFormat="false" ht="12.75" hidden="false" customHeight="false" outlineLevel="0" collapsed="false">
      <c r="A118" s="0" t="n">
        <v>77</v>
      </c>
      <c r="B118" s="0" t="s">
        <v>745</v>
      </c>
      <c r="C118" s="0" t="s">
        <v>746</v>
      </c>
      <c r="D118" s="0" t="str">
        <f aca="false">CONCATENATE(B118," - ",C118)</f>
        <v>JAM - Jamajka</v>
      </c>
    </row>
    <row r="119" customFormat="false" ht="12.75" hidden="false" customHeight="false" outlineLevel="0" collapsed="false">
      <c r="A119" s="0" t="n">
        <v>199</v>
      </c>
      <c r="B119" s="0" t="s">
        <v>747</v>
      </c>
      <c r="C119" s="0" t="s">
        <v>748</v>
      </c>
      <c r="D119" s="0" t="str">
        <f aca="false">CONCATENATE(B119," - ",C119)</f>
        <v>JOR - Jordánsko</v>
      </c>
    </row>
    <row r="120" customFormat="false" ht="12.75" hidden="false" customHeight="false" outlineLevel="0" collapsed="false">
      <c r="A120" s="0" t="n">
        <v>198</v>
      </c>
      <c r="B120" s="0" t="s">
        <v>274</v>
      </c>
      <c r="C120" s="0" t="s">
        <v>749</v>
      </c>
      <c r="D120" s="0" t="str">
        <f aca="false">CONCATENATE(B120," - ",C120)</f>
        <v>JPN - Japonsko</v>
      </c>
    </row>
    <row r="121" customFormat="false" ht="12.75" hidden="false" customHeight="false" outlineLevel="0" collapsed="false">
      <c r="A121" s="0" t="n">
        <v>87</v>
      </c>
      <c r="B121" s="0" t="s">
        <v>750</v>
      </c>
      <c r="C121" s="0" t="s">
        <v>751</v>
      </c>
      <c r="D121" s="0" t="str">
        <f aca="false">CONCATENATE(B121," - ",C121)</f>
        <v>KAZ - Kazachstán</v>
      </c>
    </row>
    <row r="122" customFormat="false" ht="12.75" hidden="false" customHeight="false" outlineLevel="0" collapsed="false">
      <c r="A122" s="0" t="n">
        <v>88</v>
      </c>
      <c r="B122" s="0" t="s">
        <v>752</v>
      </c>
      <c r="C122" s="0" t="s">
        <v>753</v>
      </c>
      <c r="D122" s="0" t="str">
        <f aca="false">CONCATENATE(B122," - ",C122)</f>
        <v>KEN - Keňa</v>
      </c>
    </row>
    <row r="123" customFormat="false" ht="12.75" hidden="false" customHeight="false" outlineLevel="0" collapsed="false">
      <c r="A123" s="0" t="n">
        <v>118</v>
      </c>
      <c r="B123" s="0" t="s">
        <v>754</v>
      </c>
      <c r="C123" s="0" t="s">
        <v>755</v>
      </c>
      <c r="D123" s="0" t="str">
        <f aca="false">CONCATENATE(B123," - ",C123)</f>
        <v>KGZ - Kyrgyzstán</v>
      </c>
    </row>
    <row r="124" customFormat="false" ht="12.75" hidden="false" customHeight="false" outlineLevel="0" collapsed="false">
      <c r="A124" s="0" t="n">
        <v>83</v>
      </c>
      <c r="B124" s="0" t="s">
        <v>756</v>
      </c>
      <c r="C124" s="0" t="s">
        <v>757</v>
      </c>
      <c r="D124" s="0" t="str">
        <f aca="false">CONCATENATE(B124," - ",C124)</f>
        <v>KHM - Kambodža</v>
      </c>
    </row>
    <row r="125" customFormat="false" ht="12.75" hidden="false" customHeight="false" outlineLevel="0" collapsed="false">
      <c r="A125" s="0" t="n">
        <v>89</v>
      </c>
      <c r="B125" s="0" t="s">
        <v>758</v>
      </c>
      <c r="C125" s="0" t="s">
        <v>759</v>
      </c>
      <c r="D125" s="0" t="str">
        <f aca="false">CONCATENATE(B125," - ",C125)</f>
        <v>KIR - Kiribati</v>
      </c>
    </row>
    <row r="126" customFormat="false" ht="12.75" hidden="false" customHeight="false" outlineLevel="0" collapsed="false">
      <c r="A126" s="0" t="n">
        <v>207</v>
      </c>
      <c r="B126" s="0" t="s">
        <v>760</v>
      </c>
      <c r="C126" s="0" t="s">
        <v>761</v>
      </c>
      <c r="D126" s="0" t="str">
        <f aca="false">CONCATENATE(B126," - ",C126)</f>
        <v>KNA - Svatý Kryštof a Nevis</v>
      </c>
    </row>
    <row r="127" customFormat="false" ht="12.75" hidden="false" customHeight="false" outlineLevel="0" collapsed="false">
      <c r="A127" s="0" t="n">
        <v>112</v>
      </c>
      <c r="B127" s="0" t="s">
        <v>762</v>
      </c>
      <c r="C127" s="0" t="s">
        <v>763</v>
      </c>
      <c r="D127" s="0" t="str">
        <f aca="false">CONCATENATE(B127," - ",C127)</f>
        <v>KOR - Korea</v>
      </c>
    </row>
    <row r="128" customFormat="false" ht="12.75" hidden="false" customHeight="false" outlineLevel="0" collapsed="false">
      <c r="A128" s="0" t="n">
        <v>116</v>
      </c>
      <c r="B128" s="0" t="s">
        <v>764</v>
      </c>
      <c r="C128" s="0" t="s">
        <v>765</v>
      </c>
      <c r="D128" s="0" t="str">
        <f aca="false">CONCATENATE(B128," - ",C128)</f>
        <v>KWT - Kuvajt</v>
      </c>
    </row>
    <row r="129" customFormat="false" ht="12.75" hidden="false" customHeight="false" outlineLevel="0" collapsed="false">
      <c r="A129" s="0" t="n">
        <v>119</v>
      </c>
      <c r="B129" s="0" t="s">
        <v>766</v>
      </c>
      <c r="C129" s="0" t="s">
        <v>767</v>
      </c>
      <c r="D129" s="0" t="str">
        <f aca="false">CONCATENATE(B129," - ",C129)</f>
        <v>LAO - Laos</v>
      </c>
    </row>
    <row r="130" customFormat="false" ht="12.75" hidden="false" customHeight="false" outlineLevel="0" collapsed="false">
      <c r="A130" s="0" t="n">
        <v>121</v>
      </c>
      <c r="B130" s="0" t="s">
        <v>768</v>
      </c>
      <c r="C130" s="0" t="s">
        <v>769</v>
      </c>
      <c r="D130" s="0" t="str">
        <f aca="false">CONCATENATE(B130," - ",C130)</f>
        <v>LBN - Libanon</v>
      </c>
    </row>
    <row r="131" customFormat="false" ht="12.75" hidden="false" customHeight="false" outlineLevel="0" collapsed="false">
      <c r="A131" s="0" t="n">
        <v>122</v>
      </c>
      <c r="B131" s="0" t="s">
        <v>770</v>
      </c>
      <c r="C131" s="0" t="s">
        <v>771</v>
      </c>
      <c r="D131" s="0" t="str">
        <f aca="false">CONCATENATE(B131," - ",C131)</f>
        <v>LBR - Libérie</v>
      </c>
    </row>
    <row r="132" customFormat="false" ht="12.75" hidden="false" customHeight="false" outlineLevel="0" collapsed="false">
      <c r="A132" s="0" t="n">
        <v>123</v>
      </c>
      <c r="B132" s="0" t="s">
        <v>772</v>
      </c>
      <c r="C132" s="0" t="s">
        <v>773</v>
      </c>
      <c r="D132" s="0" t="str">
        <f aca="false">CONCATENATE(B132," - ",C132)</f>
        <v>LBY - Libye</v>
      </c>
    </row>
    <row r="133" customFormat="false" ht="12.75" hidden="false" customHeight="false" outlineLevel="0" collapsed="false">
      <c r="A133" s="0" t="n">
        <v>103</v>
      </c>
      <c r="B133" s="0" t="s">
        <v>774</v>
      </c>
      <c r="C133" s="0" t="s">
        <v>775</v>
      </c>
      <c r="D133" s="0" t="str">
        <f aca="false">CONCATENATE(B133," - ",C133)</f>
        <v>LCA - Svatá Lucie</v>
      </c>
    </row>
    <row r="134" customFormat="false" ht="12.75" hidden="false" customHeight="false" outlineLevel="0" collapsed="false">
      <c r="A134" s="0" t="n">
        <v>124</v>
      </c>
      <c r="B134" s="0" t="s">
        <v>776</v>
      </c>
      <c r="C134" s="0" t="s">
        <v>777</v>
      </c>
      <c r="D134" s="0" t="str">
        <f aca="false">CONCATENATE(B134," - ",C134)</f>
        <v>LIE - Lichtenštejnsko</v>
      </c>
    </row>
    <row r="135" customFormat="false" ht="12.75" hidden="false" customHeight="false" outlineLevel="0" collapsed="false">
      <c r="A135" s="0" t="n">
        <v>191</v>
      </c>
      <c r="B135" s="0" t="s">
        <v>778</v>
      </c>
      <c r="C135" s="0" t="s">
        <v>779</v>
      </c>
      <c r="D135" s="0" t="str">
        <f aca="false">CONCATENATE(B135," - ",C135)</f>
        <v>LKA - Srí Lanka</v>
      </c>
    </row>
    <row r="136" customFormat="false" ht="12.75" hidden="false" customHeight="false" outlineLevel="0" collapsed="false">
      <c r="A136" s="0" t="n">
        <v>120</v>
      </c>
      <c r="B136" s="0" t="s">
        <v>780</v>
      </c>
      <c r="C136" s="0" t="s">
        <v>781</v>
      </c>
      <c r="D136" s="0" t="str">
        <f aca="false">CONCATENATE(B136," - ",C136)</f>
        <v>LSO - Lesotho</v>
      </c>
    </row>
    <row r="137" customFormat="false" ht="12.75" hidden="false" customHeight="false" outlineLevel="0" collapsed="false">
      <c r="A137" s="0" t="n">
        <v>125</v>
      </c>
      <c r="B137" s="0" t="s">
        <v>782</v>
      </c>
      <c r="C137" s="0" t="s">
        <v>783</v>
      </c>
      <c r="D137" s="0" t="str">
        <f aca="false">CONCATENATE(B137," - ",C137)</f>
        <v>LTU - Litva</v>
      </c>
    </row>
    <row r="138" customFormat="false" ht="12.75" hidden="false" customHeight="false" outlineLevel="0" collapsed="false">
      <c r="A138" s="0" t="n">
        <v>126</v>
      </c>
      <c r="B138" s="0" t="s">
        <v>784</v>
      </c>
      <c r="C138" s="0" t="s">
        <v>785</v>
      </c>
      <c r="D138" s="0" t="str">
        <f aca="false">CONCATENATE(B138," - ",C138)</f>
        <v>LUX - Lucembursko</v>
      </c>
    </row>
    <row r="139" customFormat="false" ht="12.75" hidden="false" customHeight="false" outlineLevel="0" collapsed="false">
      <c r="A139" s="0" t="n">
        <v>109</v>
      </c>
      <c r="B139" s="0" t="s">
        <v>146</v>
      </c>
      <c r="C139" s="0" t="s">
        <v>786</v>
      </c>
      <c r="D139" s="0" t="str">
        <f aca="false">CONCATENATE(B139," - ",C139)</f>
        <v>LVA - Lotyšsko</v>
      </c>
    </row>
    <row r="140" customFormat="false" ht="12.75" hidden="false" customHeight="false" outlineLevel="0" collapsed="false">
      <c r="A140" s="0" t="n">
        <v>127</v>
      </c>
      <c r="B140" s="0" t="s">
        <v>787</v>
      </c>
      <c r="C140" s="0" t="s">
        <v>788</v>
      </c>
      <c r="D140" s="0" t="str">
        <f aca="false">CONCATENATE(B140," - ",C140)</f>
        <v>MAC - Macao</v>
      </c>
    </row>
    <row r="141" customFormat="false" ht="12.75" hidden="false" customHeight="false" outlineLevel="0" collapsed="false">
      <c r="A141" s="0" t="n">
        <v>279</v>
      </c>
      <c r="B141" s="0" t="s">
        <v>789</v>
      </c>
      <c r="C141" s="0" t="s">
        <v>790</v>
      </c>
      <c r="D141" s="0" t="str">
        <f aca="false">CONCATENATE(B141," - ",C141)</f>
        <v>MAF - Saint Martin</v>
      </c>
    </row>
    <row r="142" customFormat="false" ht="12.75" hidden="false" customHeight="false" outlineLevel="0" collapsed="false">
      <c r="A142" s="0" t="n">
        <v>136</v>
      </c>
      <c r="B142" s="0" t="s">
        <v>791</v>
      </c>
      <c r="C142" s="0" t="s">
        <v>792</v>
      </c>
      <c r="D142" s="0" t="str">
        <f aca="false">CONCATENATE(B142," - ",C142)</f>
        <v>MAR - Maroko</v>
      </c>
    </row>
    <row r="143" customFormat="false" ht="12.75" hidden="false" customHeight="false" outlineLevel="0" collapsed="false">
      <c r="A143" s="0" t="n">
        <v>94</v>
      </c>
      <c r="B143" s="0" t="s">
        <v>793</v>
      </c>
      <c r="C143" s="0" t="s">
        <v>794</v>
      </c>
      <c r="D143" s="0" t="str">
        <f aca="false">CONCATENATE(B143," - ",C143)</f>
        <v>MCO - Monako</v>
      </c>
    </row>
    <row r="144" customFormat="false" ht="12.75" hidden="false" customHeight="false" outlineLevel="0" collapsed="false">
      <c r="A144" s="0" t="n">
        <v>145</v>
      </c>
      <c r="B144" s="0" t="s">
        <v>795</v>
      </c>
      <c r="C144" s="0" t="s">
        <v>796</v>
      </c>
      <c r="D144" s="0" t="str">
        <f aca="false">CONCATENATE(B144," - ",C144)</f>
        <v>MDA - Moldavsko</v>
      </c>
    </row>
    <row r="145" customFormat="false" ht="12.75" hidden="false" customHeight="false" outlineLevel="0" collapsed="false">
      <c r="A145" s="0" t="n">
        <v>128</v>
      </c>
      <c r="B145" s="0" t="s">
        <v>797</v>
      </c>
      <c r="C145" s="0" t="s">
        <v>798</v>
      </c>
      <c r="D145" s="0" t="str">
        <f aca="false">CONCATENATE(B145," - ",C145)</f>
        <v>MDG - Madagaskar</v>
      </c>
    </row>
    <row r="146" customFormat="false" ht="12.75" hidden="false" customHeight="false" outlineLevel="0" collapsed="false">
      <c r="A146" s="0" t="n">
        <v>133</v>
      </c>
      <c r="B146" s="0" t="s">
        <v>799</v>
      </c>
      <c r="C146" s="0" t="s">
        <v>800</v>
      </c>
      <c r="D146" s="0" t="str">
        <f aca="false">CONCATENATE(B146," - ",C146)</f>
        <v>MDV - Maledivy</v>
      </c>
    </row>
    <row r="147" customFormat="false" ht="12.75" hidden="false" customHeight="false" outlineLevel="0" collapsed="false">
      <c r="A147" s="0" t="n">
        <v>143</v>
      </c>
      <c r="B147" s="0" t="s">
        <v>285</v>
      </c>
      <c r="C147" s="0" t="s">
        <v>801</v>
      </c>
      <c r="D147" s="0" t="str">
        <f aca="false">CONCATENATE(B147," - ",C147)</f>
        <v>MEX - Mexiko</v>
      </c>
    </row>
    <row r="148" customFormat="false" ht="12.75" hidden="false" customHeight="false" outlineLevel="0" collapsed="false">
      <c r="A148" s="0" t="n">
        <v>137</v>
      </c>
      <c r="B148" s="0" t="s">
        <v>802</v>
      </c>
      <c r="C148" s="0" t="s">
        <v>803</v>
      </c>
      <c r="D148" s="0" t="str">
        <f aca="false">CONCATENATE(B148," - ",C148)</f>
        <v>MHL - Marshallovy ostrovy</v>
      </c>
    </row>
    <row r="149" customFormat="false" ht="12.75" hidden="false" customHeight="false" outlineLevel="0" collapsed="false">
      <c r="A149" s="0" t="n">
        <v>130</v>
      </c>
      <c r="B149" s="0" t="s">
        <v>804</v>
      </c>
      <c r="C149" s="0" t="s">
        <v>805</v>
      </c>
      <c r="D149" s="0" t="str">
        <f aca="false">CONCATENATE(B149," - ",C149)</f>
        <v>MKD - Makedonie</v>
      </c>
    </row>
    <row r="150" customFormat="false" ht="12.75" hidden="false" customHeight="false" outlineLevel="0" collapsed="false">
      <c r="A150" s="0" t="n">
        <v>134</v>
      </c>
      <c r="B150" s="0" t="s">
        <v>806</v>
      </c>
      <c r="C150" s="0" t="s">
        <v>807</v>
      </c>
      <c r="D150" s="0" t="str">
        <f aca="false">CONCATENATE(B150," - ",C150)</f>
        <v>MLI - Mali</v>
      </c>
    </row>
    <row r="151" customFormat="false" ht="12.75" hidden="false" customHeight="false" outlineLevel="0" collapsed="false">
      <c r="A151" s="0" t="n">
        <v>135</v>
      </c>
      <c r="B151" s="0" t="s">
        <v>808</v>
      </c>
      <c r="C151" s="0" t="s">
        <v>809</v>
      </c>
      <c r="D151" s="0" t="str">
        <f aca="false">CONCATENATE(B151," - ",C151)</f>
        <v>MLT - Malta</v>
      </c>
    </row>
    <row r="152" customFormat="false" ht="12.75" hidden="false" customHeight="false" outlineLevel="0" collapsed="false">
      <c r="A152" s="0" t="n">
        <v>273</v>
      </c>
      <c r="B152" s="0" t="s">
        <v>810</v>
      </c>
      <c r="C152" s="0" t="s">
        <v>811</v>
      </c>
      <c r="D152" s="0" t="str">
        <f aca="false">CONCATENATE(B152," - ",C152)</f>
        <v>MMR - Myanmar</v>
      </c>
    </row>
    <row r="153" customFormat="false" ht="12.75" hidden="false" customHeight="false" outlineLevel="0" collapsed="false">
      <c r="A153" s="0" t="n">
        <v>149</v>
      </c>
      <c r="B153" s="0" t="s">
        <v>812</v>
      </c>
      <c r="C153" s="0" t="s">
        <v>813</v>
      </c>
      <c r="D153" s="0" t="str">
        <f aca="false">CONCATENATE(B153," - ",C153)</f>
        <v>MNE - Černá Hora</v>
      </c>
    </row>
    <row r="154" customFormat="false" ht="12.75" hidden="false" customHeight="false" outlineLevel="0" collapsed="false">
      <c r="A154" s="0" t="n">
        <v>146</v>
      </c>
      <c r="B154" s="0" t="s">
        <v>814</v>
      </c>
      <c r="C154" s="0" t="s">
        <v>815</v>
      </c>
      <c r="D154" s="0" t="str">
        <f aca="false">CONCATENATE(B154," - ",C154)</f>
        <v>MNG - Mongolsko</v>
      </c>
    </row>
    <row r="155" customFormat="false" ht="12.75" hidden="false" customHeight="false" outlineLevel="0" collapsed="false">
      <c r="A155" s="0" t="n">
        <v>183</v>
      </c>
      <c r="B155" s="0" t="s">
        <v>816</v>
      </c>
      <c r="C155" s="0" t="s">
        <v>817</v>
      </c>
      <c r="D155" s="0" t="str">
        <f aca="false">CONCATENATE(B155," - ",C155)</f>
        <v>MNP - Severní Mariany</v>
      </c>
    </row>
    <row r="156" customFormat="false" ht="12.75" hidden="false" customHeight="false" outlineLevel="0" collapsed="false">
      <c r="A156" s="0" t="n">
        <v>148</v>
      </c>
      <c r="B156" s="0" t="s">
        <v>818</v>
      </c>
      <c r="C156" s="0" t="s">
        <v>819</v>
      </c>
      <c r="D156" s="0" t="str">
        <f aca="false">CONCATENATE(B156," - ",C156)</f>
        <v>MOZ - Mosambik</v>
      </c>
    </row>
    <row r="157" customFormat="false" ht="12.75" hidden="false" customHeight="false" outlineLevel="0" collapsed="false">
      <c r="A157" s="0" t="n">
        <v>139</v>
      </c>
      <c r="B157" s="0" t="s">
        <v>820</v>
      </c>
      <c r="C157" s="0" t="s">
        <v>821</v>
      </c>
      <c r="D157" s="0" t="str">
        <f aca="false">CONCATENATE(B157," - ",C157)</f>
        <v>MRT - Mauritánie</v>
      </c>
    </row>
    <row r="158" customFormat="false" ht="12.75" hidden="false" customHeight="false" outlineLevel="0" collapsed="false">
      <c r="A158" s="0" t="n">
        <v>147</v>
      </c>
      <c r="B158" s="0" t="s">
        <v>822</v>
      </c>
      <c r="C158" s="0" t="s">
        <v>823</v>
      </c>
      <c r="D158" s="0" t="str">
        <f aca="false">CONCATENATE(B158," - ",C158)</f>
        <v>MSR - Montserrat</v>
      </c>
    </row>
    <row r="159" customFormat="false" ht="12.75" hidden="false" customHeight="false" outlineLevel="0" collapsed="false">
      <c r="A159" s="0" t="n">
        <v>256</v>
      </c>
      <c r="B159" s="0" t="s">
        <v>824</v>
      </c>
      <c r="C159" s="0" t="s">
        <v>825</v>
      </c>
      <c r="D159" s="0" t="str">
        <f aca="false">CONCATENATE(B159," - ",C159)</f>
        <v>MTQ - Martinik</v>
      </c>
    </row>
    <row r="160" customFormat="false" ht="12.75" hidden="false" customHeight="false" outlineLevel="0" collapsed="false">
      <c r="A160" s="0" t="n">
        <v>138</v>
      </c>
      <c r="B160" s="0" t="s">
        <v>826</v>
      </c>
      <c r="C160" s="0" t="s">
        <v>827</v>
      </c>
      <c r="D160" s="0" t="str">
        <f aca="false">CONCATENATE(B160," - ",C160)</f>
        <v>MUS - Mauricius</v>
      </c>
    </row>
    <row r="161" customFormat="false" ht="12.75" hidden="false" customHeight="false" outlineLevel="0" collapsed="false">
      <c r="A161" s="0" t="n">
        <v>132</v>
      </c>
      <c r="B161" s="0" t="s">
        <v>828</v>
      </c>
      <c r="C161" s="0" t="s">
        <v>829</v>
      </c>
      <c r="D161" s="0" t="str">
        <f aca="false">CONCATENATE(B161," - ",C161)</f>
        <v>MWI - Malawi</v>
      </c>
    </row>
    <row r="162" customFormat="false" ht="12.75" hidden="false" customHeight="false" outlineLevel="0" collapsed="false">
      <c r="A162" s="0" t="n">
        <v>131</v>
      </c>
      <c r="B162" s="0" t="s">
        <v>830</v>
      </c>
      <c r="C162" s="0" t="s">
        <v>831</v>
      </c>
      <c r="D162" s="0" t="str">
        <f aca="false">CONCATENATE(B162," - ",C162)</f>
        <v>MYS - Malajsie</v>
      </c>
    </row>
    <row r="163" customFormat="false" ht="12.75" hidden="false" customHeight="false" outlineLevel="0" collapsed="false">
      <c r="A163" s="0" t="n">
        <v>140</v>
      </c>
      <c r="B163" s="0" t="s">
        <v>832</v>
      </c>
      <c r="C163" s="0" t="s">
        <v>833</v>
      </c>
      <c r="D163" s="0" t="str">
        <f aca="false">CONCATENATE(B163," - ",C163)</f>
        <v>MYT - Mayotte</v>
      </c>
    </row>
    <row r="164" customFormat="false" ht="12.75" hidden="false" customHeight="false" outlineLevel="0" collapsed="false">
      <c r="A164" s="0" t="n">
        <v>150</v>
      </c>
      <c r="B164" s="0" t="s">
        <v>834</v>
      </c>
      <c r="C164" s="0" t="s">
        <v>835</v>
      </c>
      <c r="D164" s="0" t="str">
        <f aca="false">CONCATENATE(B164," - ",C164)</f>
        <v>NAM - Namibie</v>
      </c>
    </row>
    <row r="165" customFormat="false" ht="12.75" hidden="false" customHeight="false" outlineLevel="0" collapsed="false">
      <c r="A165" s="0" t="n">
        <v>160</v>
      </c>
      <c r="B165" s="0" t="s">
        <v>836</v>
      </c>
      <c r="C165" s="0" t="s">
        <v>837</v>
      </c>
      <c r="D165" s="0" t="str">
        <f aca="false">CONCATENATE(B165," - ",C165)</f>
        <v>NCL - Nová Kaledonie</v>
      </c>
    </row>
    <row r="166" customFormat="false" ht="12.75" hidden="false" customHeight="false" outlineLevel="0" collapsed="false">
      <c r="A166" s="0" t="n">
        <v>154</v>
      </c>
      <c r="B166" s="0" t="s">
        <v>838</v>
      </c>
      <c r="C166" s="0" t="s">
        <v>839</v>
      </c>
      <c r="D166" s="0" t="str">
        <f aca="false">CONCATENATE(B166," - ",C166)</f>
        <v>NER - Niger</v>
      </c>
    </row>
    <row r="167" customFormat="false" ht="12.75" hidden="false" customHeight="false" outlineLevel="0" collapsed="false">
      <c r="A167" s="0" t="n">
        <v>110</v>
      </c>
      <c r="B167" s="0" t="s">
        <v>840</v>
      </c>
      <c r="C167" s="0" t="s">
        <v>841</v>
      </c>
      <c r="D167" s="0" t="str">
        <f aca="false">CONCATENATE(B167," - ",C167)</f>
        <v>NFK - Norfolk</v>
      </c>
    </row>
    <row r="168" customFormat="false" ht="12.75" hidden="false" customHeight="false" outlineLevel="0" collapsed="false">
      <c r="A168" s="0" t="n">
        <v>155</v>
      </c>
      <c r="B168" s="0" t="s">
        <v>842</v>
      </c>
      <c r="C168" s="0" t="s">
        <v>843</v>
      </c>
      <c r="D168" s="0" t="str">
        <f aca="false">CONCATENATE(B168," - ",C168)</f>
        <v>NGA - Nigérie</v>
      </c>
    </row>
    <row r="169" customFormat="false" ht="12.75" hidden="false" customHeight="false" outlineLevel="0" collapsed="false">
      <c r="A169" s="0" t="n">
        <v>156</v>
      </c>
      <c r="B169" s="0" t="s">
        <v>844</v>
      </c>
      <c r="C169" s="0" t="s">
        <v>845</v>
      </c>
      <c r="D169" s="0" t="str">
        <f aca="false">CONCATENATE(B169," - ",C169)</f>
        <v>NIC - Nikaragua</v>
      </c>
    </row>
    <row r="170" customFormat="false" ht="12.75" hidden="false" customHeight="false" outlineLevel="0" collapsed="false">
      <c r="A170" s="0" t="n">
        <v>157</v>
      </c>
      <c r="B170" s="0" t="s">
        <v>846</v>
      </c>
      <c r="C170" s="0" t="s">
        <v>847</v>
      </c>
      <c r="D170" s="0" t="str">
        <f aca="false">CONCATENATE(B170," - ",C170)</f>
        <v>NIU - Niue</v>
      </c>
    </row>
    <row r="171" customFormat="false" ht="12.75" hidden="false" customHeight="false" outlineLevel="0" collapsed="false">
      <c r="A171" s="0" t="n">
        <v>158</v>
      </c>
      <c r="B171" s="0" t="s">
        <v>82</v>
      </c>
      <c r="C171" s="0" t="s">
        <v>848</v>
      </c>
      <c r="D171" s="0" t="str">
        <f aca="false">CONCATENATE(B171," - ",C171)</f>
        <v>NLD - Nizozemsko</v>
      </c>
    </row>
    <row r="172" customFormat="false" ht="12.75" hidden="false" customHeight="false" outlineLevel="0" collapsed="false">
      <c r="A172" s="0" t="n">
        <v>159</v>
      </c>
      <c r="B172" s="0" t="s">
        <v>849</v>
      </c>
      <c r="C172" s="0" t="s">
        <v>850</v>
      </c>
      <c r="D172" s="0" t="str">
        <f aca="false">CONCATENATE(B172," - ",C172)</f>
        <v>NOR - Norsko</v>
      </c>
    </row>
    <row r="173" customFormat="false" ht="12.75" hidden="false" customHeight="false" outlineLevel="0" collapsed="false">
      <c r="A173" s="0" t="n">
        <v>153</v>
      </c>
      <c r="B173" s="0" t="s">
        <v>851</v>
      </c>
      <c r="C173" s="0" t="s">
        <v>852</v>
      </c>
      <c r="D173" s="0" t="str">
        <f aca="false">CONCATENATE(B173," - ",C173)</f>
        <v>NPL - Nepál</v>
      </c>
    </row>
    <row r="174" customFormat="false" ht="12.75" hidden="false" customHeight="false" outlineLevel="0" collapsed="false">
      <c r="A174" s="0" t="n">
        <v>151</v>
      </c>
      <c r="B174" s="0" t="s">
        <v>853</v>
      </c>
      <c r="C174" s="0" t="s">
        <v>854</v>
      </c>
      <c r="D174" s="0" t="str">
        <f aca="false">CONCATENATE(B174," - ",C174)</f>
        <v>NRU - Nauru</v>
      </c>
    </row>
    <row r="175" customFormat="false" ht="12.75" hidden="false" customHeight="false" outlineLevel="0" collapsed="false">
      <c r="A175" s="0" t="n">
        <v>247</v>
      </c>
      <c r="B175" s="0" t="s">
        <v>855</v>
      </c>
      <c r="C175" s="0" t="s">
        <v>856</v>
      </c>
      <c r="D175" s="0" t="str">
        <f aca="false">CONCATENATE(B175," - ",C175)</f>
        <v>NTZ - neutrální zóna</v>
      </c>
    </row>
    <row r="176" customFormat="false" ht="12.75" hidden="false" customHeight="false" outlineLevel="0" collapsed="false">
      <c r="A176" s="0" t="n">
        <v>161</v>
      </c>
      <c r="B176" s="0" t="s">
        <v>857</v>
      </c>
      <c r="C176" s="0" t="s">
        <v>858</v>
      </c>
      <c r="D176" s="0" t="str">
        <f aca="false">CONCATENATE(B176," - ",C176)</f>
        <v>NZL - Nový Zéland</v>
      </c>
    </row>
    <row r="177" customFormat="false" ht="12.75" hidden="false" customHeight="false" outlineLevel="0" collapsed="false">
      <c r="A177" s="0" t="n">
        <v>163</v>
      </c>
      <c r="B177" s="0" t="s">
        <v>859</v>
      </c>
      <c r="C177" s="0" t="s">
        <v>860</v>
      </c>
      <c r="D177" s="0" t="str">
        <f aca="false">CONCATENATE(B177," - ",C177)</f>
        <v>OMN - Omán</v>
      </c>
    </row>
    <row r="178" customFormat="false" ht="12.75" hidden="false" customHeight="false" outlineLevel="0" collapsed="false">
      <c r="A178" s="0" t="n">
        <v>164</v>
      </c>
      <c r="B178" s="0" t="s">
        <v>861</v>
      </c>
      <c r="C178" s="0" t="s">
        <v>862</v>
      </c>
      <c r="D178" s="0" t="str">
        <f aca="false">CONCATENATE(B178," - ",C178)</f>
        <v>PAK - Pákistán</v>
      </c>
    </row>
    <row r="179" customFormat="false" ht="12.75" hidden="false" customHeight="false" outlineLevel="0" collapsed="false">
      <c r="A179" s="0" t="n">
        <v>166</v>
      </c>
      <c r="B179" s="0" t="s">
        <v>863</v>
      </c>
      <c r="C179" s="0" t="s">
        <v>864</v>
      </c>
      <c r="D179" s="0" t="str">
        <f aca="false">CONCATENATE(B179," - ",C179)</f>
        <v>PAN - Panama</v>
      </c>
    </row>
    <row r="180" customFormat="false" ht="12.75" hidden="false" customHeight="false" outlineLevel="0" collapsed="false">
      <c r="A180" s="0" t="n">
        <v>248</v>
      </c>
      <c r="B180" s="0" t="s">
        <v>865</v>
      </c>
      <c r="C180" s="0" t="s">
        <v>866</v>
      </c>
      <c r="D180" s="0" t="str">
        <f aca="false">CONCATENATE(B180," - ",C180)</f>
        <v>PCI - Tichomořské ostrovy</v>
      </c>
    </row>
    <row r="181" customFormat="false" ht="12.75" hidden="false" customHeight="false" outlineLevel="0" collapsed="false">
      <c r="A181" s="0" t="n">
        <v>169</v>
      </c>
      <c r="B181" s="0" t="s">
        <v>867</v>
      </c>
      <c r="C181" s="0" t="s">
        <v>868</v>
      </c>
      <c r="D181" s="0" t="str">
        <f aca="false">CONCATENATE(B181," - ",C181)</f>
        <v>PCN - Pitcairn</v>
      </c>
    </row>
    <row r="182" customFormat="false" ht="12.75" hidden="false" customHeight="false" outlineLevel="0" collapsed="false">
      <c r="A182" s="0" t="n">
        <v>168</v>
      </c>
      <c r="B182" s="0" t="s">
        <v>364</v>
      </c>
      <c r="C182" s="0" t="s">
        <v>869</v>
      </c>
      <c r="D182" s="0" t="str">
        <f aca="false">CONCATENATE(B182," - ",C182)</f>
        <v>PER - Peru</v>
      </c>
    </row>
    <row r="183" customFormat="false" ht="12.75" hidden="false" customHeight="false" outlineLevel="0" collapsed="false">
      <c r="A183" s="0" t="n">
        <v>51</v>
      </c>
      <c r="B183" s="0" t="s">
        <v>870</v>
      </c>
      <c r="C183" s="0" t="s">
        <v>871</v>
      </c>
      <c r="D183" s="0" t="str">
        <f aca="false">CONCATENATE(B183," - ",C183)</f>
        <v>PHL - Filipíny</v>
      </c>
    </row>
    <row r="184" customFormat="false" ht="12.75" hidden="false" customHeight="false" outlineLevel="0" collapsed="false">
      <c r="A184" s="0" t="n">
        <v>165</v>
      </c>
      <c r="B184" s="0" t="s">
        <v>872</v>
      </c>
      <c r="C184" s="0" t="s">
        <v>873</v>
      </c>
      <c r="D184" s="0" t="str">
        <f aca="false">CONCATENATE(B184," - ",C184)</f>
        <v>PLW - Palau</v>
      </c>
    </row>
    <row r="185" customFormat="false" ht="12.75" hidden="false" customHeight="false" outlineLevel="0" collapsed="false">
      <c r="A185" s="0" t="n">
        <v>202</v>
      </c>
      <c r="B185" s="0" t="s">
        <v>874</v>
      </c>
      <c r="C185" s="0" t="s">
        <v>875</v>
      </c>
      <c r="D185" s="0" t="str">
        <f aca="false">CONCATENATE(B185," - ",C185)</f>
        <v>PNG - Papua Nová Guinea</v>
      </c>
    </row>
    <row r="186" customFormat="false" ht="12.75" hidden="false" customHeight="false" outlineLevel="0" collapsed="false">
      <c r="A186" s="0" t="n">
        <v>171</v>
      </c>
      <c r="B186" s="0" t="s">
        <v>58</v>
      </c>
      <c r="C186" s="0" t="s">
        <v>876</v>
      </c>
      <c r="D186" s="0" t="str">
        <f aca="false">CONCATENATE(B186," - ",C186)</f>
        <v>POL - Polsko</v>
      </c>
    </row>
    <row r="187" customFormat="false" ht="12.75" hidden="false" customHeight="false" outlineLevel="0" collapsed="false">
      <c r="A187" s="0" t="n">
        <v>257</v>
      </c>
      <c r="B187" s="0" t="s">
        <v>877</v>
      </c>
      <c r="C187" s="0" t="s">
        <v>878</v>
      </c>
      <c r="D187" s="0" t="str">
        <f aca="false">CONCATENATE(B187," - ",C187)</f>
        <v>PRI - Portoriko</v>
      </c>
    </row>
    <row r="188" customFormat="false" ht="12.75" hidden="false" customHeight="false" outlineLevel="0" collapsed="false">
      <c r="A188" s="0" t="n">
        <v>113</v>
      </c>
      <c r="B188" s="0" t="s">
        <v>879</v>
      </c>
      <c r="C188" s="0" t="s">
        <v>880</v>
      </c>
      <c r="D188" s="0" t="str">
        <f aca="false">CONCATENATE(B188," - ",C188)</f>
        <v>PRK - Korea, lidově demokratická republika</v>
      </c>
    </row>
    <row r="189" customFormat="false" ht="12.75" hidden="false" customHeight="false" outlineLevel="0" collapsed="false">
      <c r="A189" s="0" t="n">
        <v>172</v>
      </c>
      <c r="B189" s="0" t="s">
        <v>881</v>
      </c>
      <c r="C189" s="0" t="s">
        <v>882</v>
      </c>
      <c r="D189" s="0" t="str">
        <f aca="false">CONCATENATE(B189," - ",C189)</f>
        <v>PRT - Portugalsko</v>
      </c>
    </row>
    <row r="190" customFormat="false" ht="12.75" hidden="false" customHeight="false" outlineLevel="0" collapsed="false">
      <c r="A190" s="0" t="n">
        <v>167</v>
      </c>
      <c r="B190" s="0" t="s">
        <v>883</v>
      </c>
      <c r="C190" s="0" t="s">
        <v>884</v>
      </c>
      <c r="D190" s="0" t="str">
        <f aca="false">CONCATENATE(B190," - ",C190)</f>
        <v>PRY - Paraguay</v>
      </c>
    </row>
    <row r="191" customFormat="false" ht="12.75" hidden="false" customHeight="false" outlineLevel="0" collapsed="false">
      <c r="A191" s="0" t="n">
        <v>255</v>
      </c>
      <c r="B191" s="0" t="s">
        <v>885</v>
      </c>
      <c r="C191" s="0" t="s">
        <v>886</v>
      </c>
      <c r="D191" s="0" t="str">
        <f aca="false">CONCATENATE(B191," - ",C191)</f>
        <v>PSE - Palestina</v>
      </c>
    </row>
    <row r="192" customFormat="false" ht="12.75" hidden="false" customHeight="false" outlineLevel="0" collapsed="false">
      <c r="A192" s="0" t="n">
        <v>249</v>
      </c>
      <c r="B192" s="0" t="s">
        <v>887</v>
      </c>
      <c r="C192" s="0" t="s">
        <v>888</v>
      </c>
      <c r="D192" s="0" t="str">
        <f aca="false">CONCATENATE(B192," - ",C192)</f>
        <v>PUS - ostrovy USA v Tichém oceánu</v>
      </c>
    </row>
    <row r="193" customFormat="false" ht="12.75" hidden="false" customHeight="false" outlineLevel="0" collapsed="false">
      <c r="A193" s="0" t="n">
        <v>54</v>
      </c>
      <c r="B193" s="0" t="s">
        <v>889</v>
      </c>
      <c r="C193" s="0" t="s">
        <v>890</v>
      </c>
      <c r="D193" s="0" t="str">
        <f aca="false">CONCATENATE(B193," - ",C193)</f>
        <v>PYF - Francouzská Polynésie</v>
      </c>
    </row>
    <row r="194" customFormat="false" ht="12.75" hidden="false" customHeight="false" outlineLevel="0" collapsed="false">
      <c r="A194" s="0" t="n">
        <v>108</v>
      </c>
      <c r="B194" s="0" t="s">
        <v>891</v>
      </c>
      <c r="C194" s="0" t="s">
        <v>892</v>
      </c>
      <c r="D194" s="0" t="str">
        <f aca="false">CONCATENATE(B194," - ",C194)</f>
        <v>QAT - Katar</v>
      </c>
    </row>
    <row r="195" customFormat="false" ht="12.75" hidden="false" customHeight="false" outlineLevel="0" collapsed="false">
      <c r="A195" s="0" t="n">
        <v>95</v>
      </c>
      <c r="B195" s="0" t="s">
        <v>893</v>
      </c>
      <c r="C195" s="0" t="s">
        <v>894</v>
      </c>
      <c r="D195" s="0" t="str">
        <f aca="false">CONCATENATE(B195," - ",C195)</f>
        <v>REU - Reunion</v>
      </c>
    </row>
    <row r="196" customFormat="false" ht="12.75" hidden="false" customHeight="false" outlineLevel="0" collapsed="false">
      <c r="A196" s="0" t="n">
        <v>274</v>
      </c>
      <c r="B196" s="0" t="s">
        <v>895</v>
      </c>
      <c r="C196" s="0" t="s">
        <v>896</v>
      </c>
      <c r="D196" s="0" t="str">
        <f aca="false">CONCATENATE(B196," - ",C196)</f>
        <v>RKS - Republika Kosovo</v>
      </c>
    </row>
    <row r="197" customFormat="false" ht="12.75" hidden="false" customHeight="false" outlineLevel="0" collapsed="false">
      <c r="A197" s="0" t="n">
        <v>175</v>
      </c>
      <c r="B197" s="0" t="s">
        <v>897</v>
      </c>
      <c r="C197" s="0" t="s">
        <v>898</v>
      </c>
      <c r="D197" s="0" t="str">
        <f aca="false">CONCATENATE(B197," - ",C197)</f>
        <v>ROU - Rumunsko</v>
      </c>
    </row>
    <row r="198" customFormat="false" ht="12.75" hidden="false" customHeight="false" outlineLevel="0" collapsed="false">
      <c r="A198" s="0" t="n">
        <v>203</v>
      </c>
      <c r="B198" s="0" t="s">
        <v>899</v>
      </c>
      <c r="C198" s="0" t="s">
        <v>900</v>
      </c>
      <c r="D198" s="0" t="str">
        <f aca="false">CONCATENATE(B198," - ",C198)</f>
        <v>RUS - Rusko</v>
      </c>
    </row>
    <row r="199" customFormat="false" ht="12.75" hidden="false" customHeight="false" outlineLevel="0" collapsed="false">
      <c r="A199" s="0" t="n">
        <v>176</v>
      </c>
      <c r="B199" s="0" t="s">
        <v>901</v>
      </c>
      <c r="C199" s="0" t="s">
        <v>902</v>
      </c>
      <c r="D199" s="0" t="str">
        <f aca="false">CONCATENATE(B199," - ",C199)</f>
        <v>RWA - Rwanda</v>
      </c>
    </row>
    <row r="200" customFormat="false" ht="12.75" hidden="false" customHeight="false" outlineLevel="0" collapsed="false">
      <c r="A200" s="0" t="n">
        <v>204</v>
      </c>
      <c r="B200" s="0" t="s">
        <v>320</v>
      </c>
      <c r="C200" s="0" t="s">
        <v>903</v>
      </c>
      <c r="D200" s="0" t="str">
        <f aca="false">CONCATENATE(B200," - ",C200)</f>
        <v>SAU - Saúdská Arábie</v>
      </c>
    </row>
    <row r="201" customFormat="false" ht="12.75" hidden="false" customHeight="false" outlineLevel="0" collapsed="false">
      <c r="A201" s="0" t="n">
        <v>271</v>
      </c>
      <c r="B201" s="0" t="s">
        <v>904</v>
      </c>
      <c r="C201" s="0" t="s">
        <v>905</v>
      </c>
      <c r="D201" s="0" t="str">
        <f aca="false">CONCATENATE(B201," - ",C201)</f>
        <v>SCG - Srbsko a Černá Hora</v>
      </c>
    </row>
    <row r="202" customFormat="false" ht="12.75" hidden="false" customHeight="false" outlineLevel="0" collapsed="false">
      <c r="A202" s="0" t="n">
        <v>100</v>
      </c>
      <c r="B202" s="0" t="s">
        <v>906</v>
      </c>
      <c r="C202" s="0" t="s">
        <v>907</v>
      </c>
      <c r="D202" s="0" t="str">
        <f aca="false">CONCATENATE(B202," - ",C202)</f>
        <v>SDN - Súdán</v>
      </c>
    </row>
    <row r="203" customFormat="false" ht="12.75" hidden="false" customHeight="false" outlineLevel="0" collapsed="false">
      <c r="A203" s="0" t="n">
        <v>182</v>
      </c>
      <c r="B203" s="0" t="s">
        <v>908</v>
      </c>
      <c r="C203" s="0" t="s">
        <v>909</v>
      </c>
      <c r="D203" s="0" t="str">
        <f aca="false">CONCATENATE(B203," - ",C203)</f>
        <v>SEN - Senegal</v>
      </c>
    </row>
    <row r="204" customFormat="false" ht="12.75" hidden="false" customHeight="false" outlineLevel="0" collapsed="false">
      <c r="A204" s="0" t="n">
        <v>186</v>
      </c>
      <c r="B204" s="0" t="s">
        <v>910</v>
      </c>
      <c r="C204" s="0" t="s">
        <v>911</v>
      </c>
      <c r="D204" s="0" t="str">
        <f aca="false">CONCATENATE(B204," - ",C204)</f>
        <v>SGP - Singapur</v>
      </c>
    </row>
    <row r="205" customFormat="false" ht="12.75" hidden="false" customHeight="false" outlineLevel="0" collapsed="false">
      <c r="A205" s="0" t="n">
        <v>80</v>
      </c>
      <c r="B205" s="0" t="s">
        <v>912</v>
      </c>
      <c r="C205" s="0" t="s">
        <v>913</v>
      </c>
      <c r="D205" s="0" t="str">
        <f aca="false">CONCATENATE(B205," - ",C205)</f>
        <v>SGS - Jižní Georgie a Jižní Sandwichovy ostrovy</v>
      </c>
    </row>
    <row r="206" customFormat="false" ht="12.75" hidden="false" customHeight="false" outlineLevel="0" collapsed="false">
      <c r="A206" s="0" t="n">
        <v>102</v>
      </c>
      <c r="B206" s="0" t="s">
        <v>914</v>
      </c>
      <c r="C206" s="0" t="s">
        <v>915</v>
      </c>
      <c r="D206" s="0" t="str">
        <f aca="false">CONCATENATE(B206," - ",C206)</f>
        <v>SHN - Svatá Helena</v>
      </c>
    </row>
    <row r="207" customFormat="false" ht="12.75" hidden="false" customHeight="false" outlineLevel="0" collapsed="false">
      <c r="A207" s="0" t="n">
        <v>258</v>
      </c>
      <c r="B207" s="0" t="s">
        <v>916</v>
      </c>
      <c r="C207" s="0" t="s">
        <v>917</v>
      </c>
      <c r="D207" s="0" t="str">
        <f aca="false">CONCATENATE(B207," - ",C207)</f>
        <v>SJM - Svalbard and Jan Mayen Islands</v>
      </c>
    </row>
    <row r="208" customFormat="false" ht="12.75" hidden="false" customHeight="false" outlineLevel="0" collapsed="false">
      <c r="A208" s="0" t="n">
        <v>213</v>
      </c>
      <c r="B208" s="0" t="s">
        <v>918</v>
      </c>
      <c r="C208" s="0" t="s">
        <v>919</v>
      </c>
      <c r="D208" s="0" t="str">
        <f aca="false">CONCATENATE(B208," - ",C208)</f>
        <v>SLB - Šalamounovy ostrovy</v>
      </c>
    </row>
    <row r="209" customFormat="false" ht="12.75" hidden="false" customHeight="false" outlineLevel="0" collapsed="false">
      <c r="A209" s="0" t="n">
        <v>185</v>
      </c>
      <c r="B209" s="0" t="s">
        <v>920</v>
      </c>
      <c r="C209" s="0" t="s">
        <v>921</v>
      </c>
      <c r="D209" s="0" t="str">
        <f aca="false">CONCATENATE(B209," - ",C209)</f>
        <v>SLE - Sierra Leone</v>
      </c>
    </row>
    <row r="210" customFormat="false" ht="12.75" hidden="false" customHeight="false" outlineLevel="0" collapsed="false">
      <c r="A210" s="0" t="n">
        <v>179</v>
      </c>
      <c r="B210" s="0" t="s">
        <v>922</v>
      </c>
      <c r="C210" s="0" t="s">
        <v>923</v>
      </c>
      <c r="D210" s="0" t="str">
        <f aca="false">CONCATENATE(B210," - ",C210)</f>
        <v>SLV - Salvador</v>
      </c>
    </row>
    <row r="211" customFormat="false" ht="12.75" hidden="false" customHeight="false" outlineLevel="0" collapsed="false">
      <c r="A211" s="0" t="n">
        <v>181</v>
      </c>
      <c r="B211" s="0" t="s">
        <v>924</v>
      </c>
      <c r="C211" s="0" t="s">
        <v>925</v>
      </c>
      <c r="D211" s="0" t="str">
        <f aca="false">CONCATENATE(B211," - ",C211)</f>
        <v>SMR - San Marino</v>
      </c>
    </row>
    <row r="212" customFormat="false" ht="12.75" hidden="false" customHeight="false" outlineLevel="0" collapsed="false">
      <c r="A212" s="0" t="n">
        <v>270</v>
      </c>
      <c r="B212" s="0" t="s">
        <v>926</v>
      </c>
      <c r="C212" s="0" t="s">
        <v>927</v>
      </c>
      <c r="D212" s="0" t="str">
        <f aca="false">CONCATENATE(B212," - ",C212)</f>
        <v>SNS - Spol. nezávisl.st.</v>
      </c>
    </row>
    <row r="213" customFormat="false" ht="12.75" hidden="false" customHeight="false" outlineLevel="0" collapsed="false">
      <c r="A213" s="0" t="n">
        <v>111</v>
      </c>
      <c r="B213" s="0" t="s">
        <v>928</v>
      </c>
      <c r="C213" s="0" t="s">
        <v>929</v>
      </c>
      <c r="D213" s="0" t="str">
        <f aca="false">CONCATENATE(B213," - ",C213)</f>
        <v>SOM - Somálsko</v>
      </c>
    </row>
    <row r="214" customFormat="false" ht="12.75" hidden="false" customHeight="false" outlineLevel="0" collapsed="false">
      <c r="A214" s="0" t="n">
        <v>178</v>
      </c>
      <c r="B214" s="0" t="s">
        <v>930</v>
      </c>
      <c r="C214" s="0" t="s">
        <v>931</v>
      </c>
      <c r="D214" s="0" t="str">
        <f aca="false">CONCATENATE(B214," - ",C214)</f>
        <v>SPM - Saint Pierre a Miquelon</v>
      </c>
    </row>
    <row r="215" customFormat="false" ht="12.75" hidden="false" customHeight="false" outlineLevel="0" collapsed="false">
      <c r="A215" s="0" t="n">
        <v>275</v>
      </c>
      <c r="B215" s="0" t="s">
        <v>932</v>
      </c>
      <c r="C215" s="0" t="s">
        <v>933</v>
      </c>
      <c r="D215" s="0" t="str">
        <f aca="false">CONCATENATE(B215," - ",C215)</f>
        <v>SRB - Srbsko</v>
      </c>
    </row>
    <row r="216" customFormat="false" ht="12.75" hidden="false" customHeight="false" outlineLevel="0" collapsed="false">
      <c r="A216" s="0" t="n">
        <v>276</v>
      </c>
      <c r="B216" s="0" t="s">
        <v>934</v>
      </c>
      <c r="C216" s="0" t="s">
        <v>935</v>
      </c>
      <c r="D216" s="0" t="str">
        <f aca="false">CONCATENATE(B216," - ",C216)</f>
        <v>SSD - Jižní Súdán</v>
      </c>
    </row>
    <row r="217" customFormat="false" ht="12.75" hidden="false" customHeight="false" outlineLevel="0" collapsed="false">
      <c r="A217" s="0" t="n">
        <v>209</v>
      </c>
      <c r="B217" s="0" t="s">
        <v>936</v>
      </c>
      <c r="C217" s="0" t="s">
        <v>937</v>
      </c>
      <c r="D217" s="0" t="str">
        <f aca="false">CONCATENATE(B217," - ",C217)</f>
        <v>STP - Svatý Tomáš</v>
      </c>
    </row>
    <row r="218" customFormat="false" ht="12.75" hidden="false" customHeight="false" outlineLevel="0" collapsed="false">
      <c r="A218" s="0" t="n">
        <v>101</v>
      </c>
      <c r="B218" s="0" t="s">
        <v>938</v>
      </c>
      <c r="C218" s="0" t="s">
        <v>939</v>
      </c>
      <c r="D218" s="0" t="str">
        <f aca="false">CONCATENATE(B218," - ",C218)</f>
        <v>SUR - Surinam</v>
      </c>
    </row>
    <row r="219" customFormat="false" ht="12.75" hidden="false" customHeight="false" outlineLevel="0" collapsed="false">
      <c r="A219" s="0" t="n">
        <v>187</v>
      </c>
      <c r="B219" s="0" t="s">
        <v>940</v>
      </c>
      <c r="C219" s="0" t="s">
        <v>941</v>
      </c>
      <c r="D219" s="0" t="str">
        <f aca="false">CONCATENATE(B219," - ",C219)</f>
        <v>SVK - Slovensko</v>
      </c>
    </row>
    <row r="220" customFormat="false" ht="12.75" hidden="false" customHeight="false" outlineLevel="0" collapsed="false">
      <c r="A220" s="0" t="n">
        <v>188</v>
      </c>
      <c r="B220" s="0" t="s">
        <v>942</v>
      </c>
      <c r="C220" s="0" t="s">
        <v>943</v>
      </c>
      <c r="D220" s="0" t="str">
        <f aca="false">CONCATENATE(B220," - ",C220)</f>
        <v>SVN - Slovinsko</v>
      </c>
    </row>
    <row r="221" customFormat="false" ht="12.75" hidden="false" customHeight="false" outlineLevel="0" collapsed="false">
      <c r="A221" s="0" t="n">
        <v>215</v>
      </c>
      <c r="B221" s="0" t="s">
        <v>944</v>
      </c>
      <c r="C221" s="0" t="s">
        <v>945</v>
      </c>
      <c r="D221" s="0" t="str">
        <f aca="false">CONCATENATE(B221," - ",C221)</f>
        <v>SWE - Švédsko</v>
      </c>
    </row>
    <row r="222" customFormat="false" ht="12.75" hidden="false" customHeight="false" outlineLevel="0" collapsed="false">
      <c r="A222" s="0" t="n">
        <v>211</v>
      </c>
      <c r="B222" s="0" t="s">
        <v>946</v>
      </c>
      <c r="C222" s="0" t="s">
        <v>947</v>
      </c>
      <c r="D222" s="0" t="str">
        <f aca="false">CONCATENATE(B222," - ",C222)</f>
        <v>SWZ - Svazijsko</v>
      </c>
    </row>
    <row r="223" customFormat="false" ht="12.75" hidden="false" customHeight="false" outlineLevel="0" collapsed="false">
      <c r="A223" s="0" t="n">
        <v>282</v>
      </c>
      <c r="B223" s="0" t="s">
        <v>948</v>
      </c>
      <c r="C223" s="0" t="s">
        <v>949</v>
      </c>
      <c r="D223" s="0" t="str">
        <f aca="false">CONCATENATE(B223," - ",C223)</f>
        <v>SXM - Sint Maarten (Dutch part)</v>
      </c>
    </row>
    <row r="224" customFormat="false" ht="12.75" hidden="false" customHeight="false" outlineLevel="0" collapsed="false">
      <c r="A224" s="0" t="n">
        <v>184</v>
      </c>
      <c r="B224" s="0" t="s">
        <v>950</v>
      </c>
      <c r="C224" s="0" t="s">
        <v>951</v>
      </c>
      <c r="D224" s="0" t="str">
        <f aca="false">CONCATENATE(B224," - ",C224)</f>
        <v>SYC - Seychely</v>
      </c>
    </row>
    <row r="225" customFormat="false" ht="12.75" hidden="false" customHeight="false" outlineLevel="0" collapsed="false">
      <c r="A225" s="0" t="n">
        <v>212</v>
      </c>
      <c r="B225" s="0" t="s">
        <v>501</v>
      </c>
      <c r="C225" s="0" t="s">
        <v>952</v>
      </c>
      <c r="D225" s="0" t="str">
        <f aca="false">CONCATENATE(B225," - ",C225)</f>
        <v>SYR - Sýrie</v>
      </c>
    </row>
    <row r="226" customFormat="false" ht="12.75" hidden="false" customHeight="false" outlineLevel="0" collapsed="false">
      <c r="A226" s="0" t="n">
        <v>228</v>
      </c>
      <c r="B226" s="0" t="s">
        <v>953</v>
      </c>
      <c r="C226" s="0" t="s">
        <v>954</v>
      </c>
      <c r="D226" s="0" t="str">
        <f aca="false">CONCATENATE(B226," - ",C226)</f>
        <v>TCA - Turks a Caicos</v>
      </c>
    </row>
    <row r="227" customFormat="false" ht="12.75" hidden="false" customHeight="false" outlineLevel="0" collapsed="false">
      <c r="A227" s="0" t="n">
        <v>37</v>
      </c>
      <c r="B227" s="0" t="s">
        <v>955</v>
      </c>
      <c r="C227" s="0" t="s">
        <v>956</v>
      </c>
      <c r="D227" s="0" t="str">
        <f aca="false">CONCATENATE(B227," - ",C227)</f>
        <v>TCD - Čad</v>
      </c>
    </row>
    <row r="228" customFormat="false" ht="12.75" hidden="false" customHeight="false" outlineLevel="0" collapsed="false">
      <c r="A228" s="0" t="n">
        <v>221</v>
      </c>
      <c r="B228" s="0" t="s">
        <v>957</v>
      </c>
      <c r="C228" s="0" t="s">
        <v>958</v>
      </c>
      <c r="D228" s="0" t="str">
        <f aca="false">CONCATENATE(B228," - ",C228)</f>
        <v>TGO - Togo</v>
      </c>
    </row>
    <row r="229" customFormat="false" ht="12.75" hidden="false" customHeight="false" outlineLevel="0" collapsed="false">
      <c r="A229" s="0" t="n">
        <v>219</v>
      </c>
      <c r="B229" s="0" t="s">
        <v>959</v>
      </c>
      <c r="C229" s="0" t="s">
        <v>960</v>
      </c>
      <c r="D229" s="0" t="str">
        <f aca="false">CONCATENATE(B229," - ",C229)</f>
        <v>THA - Thajsko</v>
      </c>
    </row>
    <row r="230" customFormat="false" ht="12.75" hidden="false" customHeight="false" outlineLevel="0" collapsed="false">
      <c r="A230" s="0" t="n">
        <v>217</v>
      </c>
      <c r="B230" s="0" t="s">
        <v>961</v>
      </c>
      <c r="C230" s="0" t="s">
        <v>962</v>
      </c>
      <c r="D230" s="0" t="str">
        <f aca="false">CONCATENATE(B230," - ",C230)</f>
        <v>TJK - Tádžikistán</v>
      </c>
    </row>
    <row r="231" customFormat="false" ht="12.75" hidden="false" customHeight="false" outlineLevel="0" collapsed="false">
      <c r="A231" s="0" t="n">
        <v>222</v>
      </c>
      <c r="B231" s="0" t="s">
        <v>963</v>
      </c>
      <c r="C231" s="0" t="s">
        <v>964</v>
      </c>
      <c r="D231" s="0" t="str">
        <f aca="false">CONCATENATE(B231," - ",C231)</f>
        <v>TKL - Tokelau</v>
      </c>
    </row>
    <row r="232" customFormat="false" ht="12.75" hidden="false" customHeight="false" outlineLevel="0" collapsed="false">
      <c r="A232" s="0" t="n">
        <v>227</v>
      </c>
      <c r="B232" s="0" t="s">
        <v>965</v>
      </c>
      <c r="C232" s="0" t="s">
        <v>966</v>
      </c>
      <c r="D232" s="0" t="str">
        <f aca="false">CONCATENATE(B232," - ",C232)</f>
        <v>TKM - Turkmenistán</v>
      </c>
    </row>
    <row r="233" customFormat="false" ht="12.75" hidden="false" customHeight="false" outlineLevel="0" collapsed="false">
      <c r="A233" s="0" t="n">
        <v>238</v>
      </c>
      <c r="B233" s="0" t="s">
        <v>967</v>
      </c>
      <c r="C233" s="0" t="s">
        <v>968</v>
      </c>
      <c r="D233" s="0" t="str">
        <f aca="false">CONCATENATE(B233," - ",C233)</f>
        <v>TLS - Východní Timor</v>
      </c>
    </row>
    <row r="234" customFormat="false" ht="12.75" hidden="false" customHeight="false" outlineLevel="0" collapsed="false">
      <c r="A234" s="0" t="n">
        <v>223</v>
      </c>
      <c r="B234" s="0" t="s">
        <v>969</v>
      </c>
      <c r="C234" s="0" t="s">
        <v>970</v>
      </c>
      <c r="D234" s="0" t="str">
        <f aca="false">CONCATENATE(B234," - ",C234)</f>
        <v>TON - Tonga</v>
      </c>
    </row>
    <row r="235" customFormat="false" ht="12.75" hidden="false" customHeight="false" outlineLevel="0" collapsed="false">
      <c r="A235" s="0" t="n">
        <v>224</v>
      </c>
      <c r="B235" s="0" t="s">
        <v>971</v>
      </c>
      <c r="C235" s="0" t="s">
        <v>972</v>
      </c>
      <c r="D235" s="0" t="str">
        <f aca="false">CONCATENATE(B235," - ",C235)</f>
        <v>TTO - Trinidad a Tobago</v>
      </c>
    </row>
    <row r="236" customFormat="false" ht="12.75" hidden="false" customHeight="false" outlineLevel="0" collapsed="false">
      <c r="A236" s="0" t="n">
        <v>225</v>
      </c>
      <c r="B236" s="0" t="s">
        <v>973</v>
      </c>
      <c r="C236" s="0" t="s">
        <v>974</v>
      </c>
      <c r="D236" s="0" t="str">
        <f aca="false">CONCATENATE(B236," - ",C236)</f>
        <v>TUN - Tunisko</v>
      </c>
    </row>
    <row r="237" customFormat="false" ht="12.75" hidden="false" customHeight="false" outlineLevel="0" collapsed="false">
      <c r="A237" s="0" t="n">
        <v>226</v>
      </c>
      <c r="B237" s="0" t="s">
        <v>975</v>
      </c>
      <c r="C237" s="0" t="s">
        <v>976</v>
      </c>
      <c r="D237" s="0" t="str">
        <f aca="false">CONCATENATE(B237," - ",C237)</f>
        <v>TUR - Turecko</v>
      </c>
    </row>
    <row r="238" customFormat="false" ht="12.75" hidden="false" customHeight="false" outlineLevel="0" collapsed="false">
      <c r="A238" s="0" t="n">
        <v>229</v>
      </c>
      <c r="B238" s="0" t="s">
        <v>977</v>
      </c>
      <c r="C238" s="0" t="s">
        <v>978</v>
      </c>
      <c r="D238" s="0" t="str">
        <f aca="false">CONCATENATE(B238," - ",C238)</f>
        <v>TUV - Tuvalu</v>
      </c>
    </row>
    <row r="239" customFormat="false" ht="12.75" hidden="false" customHeight="false" outlineLevel="0" collapsed="false">
      <c r="A239" s="0" t="n">
        <v>220</v>
      </c>
      <c r="B239" s="0" t="s">
        <v>979</v>
      </c>
      <c r="C239" s="0" t="s">
        <v>980</v>
      </c>
      <c r="D239" s="0" t="str">
        <f aca="false">CONCATENATE(B239," - ",C239)</f>
        <v>TWN - Tchaj-wan</v>
      </c>
    </row>
    <row r="240" customFormat="false" ht="12.75" hidden="false" customHeight="false" outlineLevel="0" collapsed="false">
      <c r="A240" s="0" t="n">
        <v>218</v>
      </c>
      <c r="B240" s="0" t="s">
        <v>981</v>
      </c>
      <c r="C240" s="0" t="s">
        <v>982</v>
      </c>
      <c r="D240" s="0" t="str">
        <f aca="false">CONCATENATE(B240," - ",C240)</f>
        <v>TZA - Tanzánie</v>
      </c>
    </row>
    <row r="241" customFormat="false" ht="12.75" hidden="false" customHeight="false" outlineLevel="0" collapsed="false">
      <c r="A241" s="0" t="n">
        <v>230</v>
      </c>
      <c r="B241" s="0" t="s">
        <v>983</v>
      </c>
      <c r="C241" s="0" t="s">
        <v>984</v>
      </c>
      <c r="D241" s="0" t="str">
        <f aca="false">CONCATENATE(B241," - ",C241)</f>
        <v>UGA - Uganda</v>
      </c>
    </row>
    <row r="242" customFormat="false" ht="12.75" hidden="false" customHeight="false" outlineLevel="0" collapsed="false">
      <c r="A242" s="0" t="n">
        <v>231</v>
      </c>
      <c r="B242" s="0" t="s">
        <v>46</v>
      </c>
      <c r="C242" s="0" t="s">
        <v>985</v>
      </c>
      <c r="D242" s="0" t="str">
        <f aca="false">CONCATENATE(B242," - ",C242)</f>
        <v>UKR - Ukrajina</v>
      </c>
    </row>
    <row r="243" customFormat="false" ht="12.75" hidden="false" customHeight="false" outlineLevel="0" collapsed="false">
      <c r="A243" s="0" t="n">
        <v>142</v>
      </c>
      <c r="B243" s="0" t="s">
        <v>986</v>
      </c>
      <c r="C243" s="0" t="s">
        <v>987</v>
      </c>
      <c r="D243" s="0" t="str">
        <f aca="false">CONCATENATE(B243," - ",C243)</f>
        <v>UMI - Menší odlehlé ostrovy USA</v>
      </c>
    </row>
    <row r="244" customFormat="false" ht="12.75" hidden="false" customHeight="false" outlineLevel="0" collapsed="false">
      <c r="A244" s="0" t="n">
        <v>97</v>
      </c>
      <c r="B244" s="0" t="s">
        <v>988</v>
      </c>
      <c r="C244" s="0" t="s">
        <v>989</v>
      </c>
      <c r="D244" s="0" t="str">
        <f aca="false">CONCATENATE(B244," - ",C244)</f>
        <v>UNA - Agentura spojených národů</v>
      </c>
    </row>
    <row r="245" customFormat="false" ht="12.75" hidden="false" customHeight="false" outlineLevel="0" collapsed="false">
      <c r="A245" s="0" t="n">
        <v>276</v>
      </c>
      <c r="B245" s="0" t="s">
        <v>990</v>
      </c>
      <c r="C245" s="0" t="s">
        <v>991</v>
      </c>
      <c r="D245" s="0" t="str">
        <f aca="false">CONCATENATE(B245," - ",C245)</f>
        <v>UNK - Kosovo - státy EU neuznávaný</v>
      </c>
    </row>
    <row r="246" customFormat="false" ht="12.75" hidden="false" customHeight="false" outlineLevel="0" collapsed="false">
      <c r="A246" s="0" t="n">
        <v>259</v>
      </c>
      <c r="B246" s="0" t="s">
        <v>992</v>
      </c>
      <c r="C246" s="0" t="s">
        <v>993</v>
      </c>
      <c r="D246" s="0" t="str">
        <f aca="false">CONCATENATE(B246," - ",C246)</f>
        <v>UNO - Organizace spojených národů</v>
      </c>
    </row>
    <row r="247" customFormat="false" ht="12.75" hidden="false" customHeight="false" outlineLevel="0" collapsed="false">
      <c r="A247" s="0" t="n">
        <v>232</v>
      </c>
      <c r="B247" s="0" t="s">
        <v>994</v>
      </c>
      <c r="C247" s="0" t="s">
        <v>995</v>
      </c>
      <c r="D247" s="0" t="str">
        <f aca="false">CONCATENATE(B247," - ",C247)</f>
        <v>URY - Uruguay</v>
      </c>
    </row>
    <row r="248" customFormat="false" ht="12.75" hidden="false" customHeight="false" outlineLevel="0" collapsed="false">
      <c r="A248" s="0" t="n">
        <v>190</v>
      </c>
      <c r="B248" s="0" t="s">
        <v>65</v>
      </c>
      <c r="C248" s="0" t="s">
        <v>996</v>
      </c>
      <c r="D248" s="0" t="str">
        <f aca="false">CONCATENATE(B248," - ",C248)</f>
        <v>USA - Spojené státy</v>
      </c>
    </row>
    <row r="249" customFormat="false" ht="12.75" hidden="false" customHeight="false" outlineLevel="0" collapsed="false">
      <c r="A249" s="0" t="n">
        <v>233</v>
      </c>
      <c r="B249" s="0" t="s">
        <v>997</v>
      </c>
      <c r="C249" s="0" t="s">
        <v>998</v>
      </c>
      <c r="D249" s="0" t="str">
        <f aca="false">CONCATENATE(B249," - ",C249)</f>
        <v>UZB - Uzbekistán</v>
      </c>
    </row>
    <row r="250" customFormat="false" ht="12.75" hidden="false" customHeight="false" outlineLevel="0" collapsed="false">
      <c r="A250" s="0" t="n">
        <v>208</v>
      </c>
      <c r="B250" s="0" t="s">
        <v>999</v>
      </c>
      <c r="C250" s="0" t="s">
        <v>1000</v>
      </c>
      <c r="D250" s="0" t="str">
        <f aca="false">CONCATENATE(B250," - ",C250)</f>
        <v>VAT - Vatikán (Svatý stolec)</v>
      </c>
    </row>
    <row r="251" customFormat="false" ht="12.75" hidden="false" customHeight="false" outlineLevel="0" collapsed="false">
      <c r="A251" s="0" t="n">
        <v>210</v>
      </c>
      <c r="B251" s="0" t="s">
        <v>1001</v>
      </c>
      <c r="C251" s="0" t="s">
        <v>1002</v>
      </c>
      <c r="D251" s="0" t="str">
        <f aca="false">CONCATENATE(B251," - ",C251)</f>
        <v>VCT - Svatý Vincenc a Grenadiny</v>
      </c>
    </row>
    <row r="252" customFormat="false" ht="12.75" hidden="false" customHeight="false" outlineLevel="0" collapsed="false">
      <c r="A252" s="0" t="n">
        <v>236</v>
      </c>
      <c r="B252" s="0" t="s">
        <v>1003</v>
      </c>
      <c r="C252" s="0" t="s">
        <v>1004</v>
      </c>
      <c r="D252" s="0" t="str">
        <f aca="false">CONCATENATE(B252," - ",C252)</f>
        <v>VEN - Venezuela</v>
      </c>
    </row>
    <row r="253" customFormat="false" ht="12.75" hidden="false" customHeight="false" outlineLevel="0" collapsed="false">
      <c r="A253" s="0" t="n">
        <v>105</v>
      </c>
      <c r="B253" s="0" t="s">
        <v>1005</v>
      </c>
      <c r="C253" s="0" t="s">
        <v>1006</v>
      </c>
      <c r="D253" s="0" t="str">
        <f aca="false">CONCATENATE(B253," - ",C253)</f>
        <v>VGB - Britské Panenské ostrovy</v>
      </c>
    </row>
    <row r="254" customFormat="false" ht="12.75" hidden="false" customHeight="false" outlineLevel="0" collapsed="false">
      <c r="A254" s="0" t="n">
        <v>5</v>
      </c>
      <c r="B254" s="0" t="s">
        <v>1007</v>
      </c>
      <c r="C254" s="0" t="s">
        <v>1008</v>
      </c>
      <c r="D254" s="0" t="str">
        <f aca="false">CONCATENATE(B254," - ",C254)</f>
        <v>VIR - Americké Panenské ostrovy</v>
      </c>
    </row>
    <row r="255" customFormat="false" ht="12.75" hidden="false" customHeight="false" outlineLevel="0" collapsed="false">
      <c r="A255" s="0" t="n">
        <v>237</v>
      </c>
      <c r="B255" s="0" t="s">
        <v>1009</v>
      </c>
      <c r="C255" s="0" t="s">
        <v>1010</v>
      </c>
      <c r="D255" s="0" t="str">
        <f aca="false">CONCATENATE(B255," - ",C255)</f>
        <v>VNM - Vietnam</v>
      </c>
    </row>
    <row r="256" customFormat="false" ht="12.75" hidden="false" customHeight="false" outlineLevel="0" collapsed="false">
      <c r="A256" s="0" t="n">
        <v>235</v>
      </c>
      <c r="B256" s="0" t="s">
        <v>1011</v>
      </c>
      <c r="C256" s="0" t="s">
        <v>1012</v>
      </c>
      <c r="D256" s="0" t="str">
        <f aca="false">CONCATENATE(B256," - ",C256)</f>
        <v>VUT - Vanuatu</v>
      </c>
    </row>
    <row r="257" customFormat="false" ht="12.75" hidden="false" customHeight="false" outlineLevel="0" collapsed="false">
      <c r="A257" s="0" t="n">
        <v>239</v>
      </c>
      <c r="B257" s="0" t="s">
        <v>1013</v>
      </c>
      <c r="C257" s="0" t="s">
        <v>1014</v>
      </c>
      <c r="D257" s="0" t="str">
        <f aca="false">CONCATENATE(B257," - ",C257)</f>
        <v>WLF - Wallis a Futuna</v>
      </c>
    </row>
    <row r="258" customFormat="false" ht="12.75" hidden="false" customHeight="false" outlineLevel="0" collapsed="false">
      <c r="A258" s="0" t="n">
        <v>180</v>
      </c>
      <c r="B258" s="0" t="s">
        <v>1015</v>
      </c>
      <c r="C258" s="0" t="s">
        <v>1016</v>
      </c>
      <c r="D258" s="0" t="str">
        <f aca="false">CONCATENATE(B258," - ",C258)</f>
        <v>WSM - Samoa</v>
      </c>
    </row>
    <row r="259" customFormat="false" ht="12.75" hidden="false" customHeight="false" outlineLevel="0" collapsed="false">
      <c r="A259" s="0" t="n">
        <v>250</v>
      </c>
      <c r="B259" s="0" t="s">
        <v>1017</v>
      </c>
      <c r="C259" s="0" t="s">
        <v>1018</v>
      </c>
      <c r="D259" s="0" t="str">
        <f aca="false">CONCATENATE(B259," - ",C259)</f>
        <v>XEU - Evropská unie</v>
      </c>
    </row>
    <row r="260" customFormat="false" ht="12.75" hidden="false" customHeight="false" outlineLevel="0" collapsed="false">
      <c r="A260" s="0" t="n">
        <v>251</v>
      </c>
      <c r="B260" s="0" t="s">
        <v>1019</v>
      </c>
      <c r="C260" s="0" t="s">
        <v>1020</v>
      </c>
      <c r="D260" s="0" t="str">
        <f aca="false">CONCATENATE(B260," - ",C260)</f>
        <v>XGG - Guernsey</v>
      </c>
    </row>
    <row r="261" customFormat="false" ht="12.75" hidden="false" customHeight="false" outlineLevel="0" collapsed="false">
      <c r="A261" s="0" t="n">
        <v>252</v>
      </c>
      <c r="B261" s="0" t="s">
        <v>1021</v>
      </c>
      <c r="C261" s="0" t="s">
        <v>1022</v>
      </c>
      <c r="D261" s="0" t="str">
        <f aca="false">CONCATENATE(B261," - ",C261)</f>
        <v>XJE - Jersey</v>
      </c>
    </row>
    <row r="262" customFormat="false" ht="12.75" hidden="false" customHeight="false" outlineLevel="0" collapsed="false">
      <c r="A262" s="0" t="n">
        <v>283</v>
      </c>
      <c r="B262" s="0" t="s">
        <v>1023</v>
      </c>
      <c r="C262" s="0" t="s">
        <v>1024</v>
      </c>
      <c r="D262" s="0" t="str">
        <f aca="false">CONCATENATE(B262," - ",C262)</f>
        <v>XKO - Kosovo - archiv (do 11.2.2015)</v>
      </c>
    </row>
    <row r="263" customFormat="false" ht="12.75" hidden="false" customHeight="false" outlineLevel="0" collapsed="false">
      <c r="A263" s="0" t="n">
        <v>253</v>
      </c>
      <c r="B263" s="0" t="s">
        <v>1025</v>
      </c>
      <c r="C263" s="0" t="s">
        <v>1026</v>
      </c>
      <c r="D263" s="0" t="str">
        <f aca="false">CONCATENATE(B263," - ",C263)</f>
        <v>XMR - Svrchovaný řád maltézských rytířů</v>
      </c>
    </row>
    <row r="264" customFormat="false" ht="12.75" hidden="false" customHeight="false" outlineLevel="0" collapsed="false">
      <c r="A264" s="0" t="n">
        <v>260</v>
      </c>
      <c r="B264" s="0" t="s">
        <v>1027</v>
      </c>
      <c r="C264" s="0" t="s">
        <v>1028</v>
      </c>
      <c r="D264" s="0" t="str">
        <f aca="false">CONCATENATE(B264," - ",C264)</f>
        <v>XXA - osoba bez státní příslušnosti</v>
      </c>
    </row>
    <row r="265" customFormat="false" ht="12.75" hidden="false" customHeight="false" outlineLevel="0" collapsed="false">
      <c r="A265" s="0" t="n">
        <v>98</v>
      </c>
      <c r="B265" s="0" t="s">
        <v>1029</v>
      </c>
      <c r="C265" s="0" t="s">
        <v>1030</v>
      </c>
      <c r="D265" s="0" t="str">
        <f aca="false">CONCATENATE(B265," - ",C265)</f>
        <v>XXB - uprchlík dle konvence  1951</v>
      </c>
    </row>
    <row r="266" customFormat="false" ht="12.75" hidden="false" customHeight="false" outlineLevel="0" collapsed="false">
      <c r="A266" s="0" t="n">
        <v>261</v>
      </c>
      <c r="B266" s="0" t="s">
        <v>1031</v>
      </c>
      <c r="C266" s="0" t="s">
        <v>1032</v>
      </c>
      <c r="D266" s="0" t="str">
        <f aca="false">CONCATENATE(B266," - ",C266)</f>
        <v>XXC - uprchlík ostatní</v>
      </c>
    </row>
    <row r="267" customFormat="false" ht="12.75" hidden="false" customHeight="false" outlineLevel="0" collapsed="false">
      <c r="A267" s="0" t="n">
        <v>277</v>
      </c>
      <c r="B267" s="0" t="s">
        <v>1033</v>
      </c>
      <c r="C267" s="0" t="s">
        <v>1034</v>
      </c>
      <c r="D267" s="0" t="str">
        <f aca="false">CONCATENATE(B267," - ",C267)</f>
        <v>XXK - Kosovo</v>
      </c>
    </row>
    <row r="268" customFormat="false" ht="12.75" hidden="false" customHeight="false" outlineLevel="0" collapsed="false">
      <c r="A268" s="0" t="n">
        <v>272</v>
      </c>
      <c r="B268" s="0" t="s">
        <v>1035</v>
      </c>
      <c r="C268" s="0" t="s">
        <v>1036</v>
      </c>
      <c r="D268" s="0" t="str">
        <f aca="false">CONCATENATE(B268," - ",C268)</f>
        <v>XXX - neuvedený stát</v>
      </c>
    </row>
    <row r="269" customFormat="false" ht="12.75" hidden="false" customHeight="false" outlineLevel="0" collapsed="false">
      <c r="A269" s="0" t="n">
        <v>78</v>
      </c>
      <c r="B269" s="0" t="s">
        <v>1037</v>
      </c>
      <c r="C269" s="0" t="s">
        <v>1038</v>
      </c>
      <c r="D269" s="0" t="str">
        <f aca="false">CONCATENATE(B269," - ",C269)</f>
        <v>YEM - Jemen</v>
      </c>
    </row>
    <row r="270" customFormat="false" ht="12.75" hidden="false" customHeight="false" outlineLevel="0" collapsed="false">
      <c r="A270" s="0" t="n">
        <v>79</v>
      </c>
      <c r="B270" s="0" t="s">
        <v>313</v>
      </c>
      <c r="C270" s="0" t="s">
        <v>1039</v>
      </c>
      <c r="D270" s="0" t="str">
        <f aca="false">CONCATENATE(B270," - ",C270)</f>
        <v>ZAF - Jihoafrická republika</v>
      </c>
    </row>
    <row r="271" customFormat="false" ht="12.75" hidden="false" customHeight="false" outlineLevel="0" collapsed="false">
      <c r="A271" s="0" t="n">
        <v>240</v>
      </c>
      <c r="B271" s="0" t="s">
        <v>1040</v>
      </c>
      <c r="C271" s="0" t="s">
        <v>1041</v>
      </c>
      <c r="D271" s="0" t="str">
        <f aca="false">CONCATENATE(B271," - ",C271)</f>
        <v>ZMB - Zambie</v>
      </c>
    </row>
    <row r="272" customFormat="false" ht="12.75" hidden="false" customHeight="false" outlineLevel="0" collapsed="false">
      <c r="A272" s="0" t="n">
        <v>241</v>
      </c>
      <c r="B272" s="0" t="s">
        <v>1042</v>
      </c>
      <c r="C272" s="0" t="s">
        <v>1043</v>
      </c>
      <c r="D272" s="0" t="str">
        <f aca="false">CONCATENATE(B272," - ",C272)</f>
        <v>ZWE - Zimbabwe</v>
      </c>
    </row>
  </sheetData>
  <sheetProtection sheet="true"/>
  <printOptions headings="false" gridLines="false" gridLinesSet="true" horizontalCentered="false" verticalCentered="false"/>
  <pageMargins left="0.7875" right="0.7875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9" activeCellId="0" sqref="B9"/>
    </sheetView>
  </sheetViews>
  <sheetFormatPr defaultColWidth="9.0546875" defaultRowHeight="12.75" customHeight="true" zeroHeight="false" outlineLevelRow="0" outlineLevelCol="0"/>
  <cols>
    <col collapsed="false" customWidth="true" hidden="false" outlineLevel="0" max="1" min="1" style="0" width="2.99"/>
    <col collapsed="false" customWidth="true" hidden="false" outlineLevel="0" max="2" min="2" style="0" width="32.85"/>
    <col collapsed="false" customWidth="true" hidden="true" outlineLevel="0" max="3" min="3" style="0" width="36.7"/>
  </cols>
  <sheetData>
    <row r="1" customFormat="false" ht="12.75" hidden="false" customHeight="false" outlineLevel="0" collapsed="false">
      <c r="A1" s="0" t="s">
        <v>1044</v>
      </c>
      <c r="B1" s="0" t="s">
        <v>1045</v>
      </c>
      <c r="C1" s="0" t="str">
        <f aca="false">CONCATENATE(A1," - ",B1)</f>
        <v>00 - ZDRAVOTNÍ</v>
      </c>
    </row>
    <row r="2" customFormat="false" ht="12.75" hidden="false" customHeight="false" outlineLevel="0" collapsed="false">
      <c r="A2" s="0" t="s">
        <v>1046</v>
      </c>
      <c r="B2" s="0" t="s">
        <v>1047</v>
      </c>
      <c r="C2" s="0" t="str">
        <f aca="false">CONCATENATE(A2," - ",B2)</f>
        <v>01 - OBCHODNÍ</v>
      </c>
    </row>
    <row r="3" customFormat="false" ht="12.75" hidden="false" customHeight="false" outlineLevel="0" collapsed="false">
      <c r="A3" s="0" t="s">
        <v>1048</v>
      </c>
      <c r="B3" s="0" t="s">
        <v>1049</v>
      </c>
      <c r="C3" s="0" t="str">
        <f aca="false">CONCATENATE(A3," - ",B3)</f>
        <v>02 - KULTURNÍ</v>
      </c>
    </row>
    <row r="4" customFormat="false" ht="12.75" hidden="false" customHeight="false" outlineLevel="0" collapsed="false">
      <c r="A4" s="0" t="s">
        <v>1050</v>
      </c>
      <c r="B4" s="0" t="s">
        <v>1051</v>
      </c>
      <c r="C4" s="0" t="str">
        <f aca="false">CONCATENATE(A4," - ",B4)</f>
        <v>03 - NÁVŠTĚVA RODINY NEBO PŘÁTEL</v>
      </c>
    </row>
    <row r="5" customFormat="false" ht="12.75" hidden="false" customHeight="false" outlineLevel="0" collapsed="false">
      <c r="A5" s="0" t="s">
        <v>1052</v>
      </c>
      <c r="B5" s="0" t="s">
        <v>1053</v>
      </c>
      <c r="C5" s="0" t="str">
        <f aca="false">CONCATENATE(A5," - ",B5)</f>
        <v>04 - POZVÁNÍ</v>
      </c>
    </row>
    <row r="6" customFormat="false" ht="12.75" hidden="false" customHeight="false" outlineLevel="0" collapsed="false">
      <c r="A6" s="0" t="s">
        <v>1054</v>
      </c>
      <c r="B6" s="0" t="s">
        <v>1055</v>
      </c>
      <c r="C6" s="0" t="str">
        <f aca="false">CONCATENATE(A6," - ",B6)</f>
        <v>05 - OFICIÁLNÍ (POLITICKÝ)</v>
      </c>
    </row>
    <row r="7" customFormat="false" ht="12.75" hidden="false" customHeight="false" outlineLevel="0" collapsed="false">
      <c r="A7" s="0" t="s">
        <v>1056</v>
      </c>
      <c r="B7" s="0" t="s">
        <v>1057</v>
      </c>
      <c r="C7" s="0" t="str">
        <f aca="false">CONCATENATE(A7," - ",B7)</f>
        <v>06 - PODNIKÁNÍ - OSVČ</v>
      </c>
    </row>
    <row r="8" customFormat="false" ht="12.75" hidden="false" customHeight="false" outlineLevel="0" collapsed="false">
      <c r="A8" s="0" t="s">
        <v>1058</v>
      </c>
      <c r="B8" s="0" t="s">
        <v>1059</v>
      </c>
      <c r="C8" s="0" t="str">
        <f aca="false">CONCATENATE(A8," - ",B8)</f>
        <v>07 - SPORTOVNÍ</v>
      </c>
    </row>
    <row r="9" customFormat="false" ht="12.75" hidden="false" customHeight="false" outlineLevel="0" collapsed="false">
      <c r="A9" s="0" t="s">
        <v>127</v>
      </c>
      <c r="B9" s="0" t="s">
        <v>1060</v>
      </c>
      <c r="C9" s="0" t="str">
        <f aca="false">CONCATENATE(A9," - ",B9)</f>
        <v>10 - TURISTIKA</v>
      </c>
    </row>
    <row r="10" customFormat="false" ht="12.75" hidden="false" customHeight="false" outlineLevel="0" collapsed="false">
      <c r="A10" s="0" t="s">
        <v>1061</v>
      </c>
      <c r="B10" s="0" t="s">
        <v>1062</v>
      </c>
      <c r="C10" s="0" t="str">
        <f aca="false">CONCATENATE(A10," - ",B10)</f>
        <v>11 - STUDIUM (ŠKOLENÍ, STÁŽ)</v>
      </c>
    </row>
    <row r="11" customFormat="false" ht="12.75" hidden="false" customHeight="false" outlineLevel="0" collapsed="false">
      <c r="A11" s="0" t="s">
        <v>1063</v>
      </c>
      <c r="B11" s="0" t="s">
        <v>1064</v>
      </c>
      <c r="C11" s="0" t="str">
        <f aca="false">CONCATENATE(A11," - ",B11)</f>
        <v>12 - TRANZIT (průjezd)</v>
      </c>
    </row>
    <row r="12" customFormat="false" ht="12.75" hidden="false" customHeight="false" outlineLevel="0" collapsed="false">
      <c r="A12" s="0" t="s">
        <v>1065</v>
      </c>
      <c r="B12" s="0" t="s">
        <v>1066</v>
      </c>
      <c r="C12" s="0" t="str">
        <f aca="false">CONCATENATE(A12," - ",B12)</f>
        <v>13 - LETIŠTNÍ TRANZIT (letištní průjezd)</v>
      </c>
    </row>
    <row r="13" customFormat="false" ht="12.75" hidden="false" customHeight="false" outlineLevel="0" collapsed="false">
      <c r="A13" s="0" t="s">
        <v>1067</v>
      </c>
      <c r="B13" s="0" t="s">
        <v>1068</v>
      </c>
      <c r="C13" s="0" t="str">
        <f aca="false">CONCATENATE(A13," - ",B13)</f>
        <v>27 - ZAMĚSTNÁNÍ</v>
      </c>
    </row>
    <row r="14" customFormat="false" ht="12.75" hidden="false" customHeight="false" outlineLevel="0" collapsed="false">
      <c r="A14" s="45" t="n">
        <v>93</v>
      </c>
      <c r="B14" s="0" t="s">
        <v>1069</v>
      </c>
      <c r="C14" s="0" t="str">
        <f aca="false">CONCATENATE(A14," - ",B14)</f>
        <v>93 - Tzv. ADS vízum udělované občanu Číny</v>
      </c>
    </row>
    <row r="15" customFormat="false" ht="12.75" hidden="false" customHeight="false" outlineLevel="0" collapsed="false">
      <c r="A15" s="0" t="s">
        <v>1070</v>
      </c>
      <c r="B15" s="0" t="s">
        <v>1071</v>
      </c>
      <c r="C15" s="0" t="str">
        <f aca="false">CONCATENATE(A15," - ",B15)</f>
        <v>99 - OSTATNÍ / JINÉ</v>
      </c>
    </row>
  </sheetData>
  <sheetProtection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LibreOffice/25.2.5.2$MacOSX_AARCH64 LibreOffice_project/03d19516eb2e1dd5d4ccd751a0d6f35f35e08022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2025-07-28T17:43:01Z</dcterms:created>
  <dc:creator/>
  <dc:description>Podpora short date format ve Win8</dc:description>
  <dc:language>en-US</dc:language>
  <cp:lastModifiedBy>HI, Recepce 6</cp:lastModifiedBy>
  <cp:lastPrinted>2024-06-30T19:47:21Z</cp:lastPrinted>
  <dcterms:modified xsi:type="dcterms:W3CDTF">2025-06-21T07:03:30Z</dcterms:modified>
  <cp:revision>0</cp:revision>
  <dc:subject/>
  <dc:title>UBYTOVANI - verze 19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62691439</vt:i4>
  </property>
  <property fmtid="{D5CDD505-2E9C-101B-9397-08002B2CF9AE}" pid="3" name="_AuthorEmail">
    <vt:lpwstr>martin.dolezal@holidayinn.cz_x0000__x0000__x0000_</vt:lpwstr>
  </property>
  <property fmtid="{D5CDD505-2E9C-101B-9397-08002B2CF9AE}" pid="4" name="_AuthorEmailDisplayName">
    <vt:lpwstr>Martin Doležal_x0000_</vt:lpwstr>
  </property>
  <property fmtid="{D5CDD505-2E9C-101B-9397-08002B2CF9AE}" pid="5" name="_EmailSubject">
    <vt:lpwstr>Denisa_x0000_</vt:lpwstr>
  </property>
  <property fmtid="{D5CDD505-2E9C-101B-9397-08002B2CF9AE}" pid="6" name="_NewReviewCycle">
    <vt:lpwstr>_x0000__x0000__x0000_</vt:lpwstr>
  </property>
  <property fmtid="{D5CDD505-2E9C-101B-9397-08002B2CF9AE}" pid="7" name="_ReviewingToolsShownOnce">
    <vt:lpwstr>_x0000__x0000__x0000_</vt:lpwstr>
  </property>
</Properties>
</file>