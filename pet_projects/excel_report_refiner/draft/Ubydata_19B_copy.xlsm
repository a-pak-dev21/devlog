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1" autoFilterDateGrouping="1"/>
  </bookViews>
  <sheets>
    <sheet name="Ubytovatel" sheetId="1" state="visible" r:id="rId1"/>
    <sheet name="Seznam" sheetId="2" state="visible" r:id="rId2"/>
    <sheet name="STP" sheetId="3" state="visible" r:id="rId3"/>
    <sheet name="UcelPobytu" sheetId="4" state="visible" r:id="rId4"/>
  </sheets>
  <definedNames>
    <definedName name="cd" hidden="0" function="0" vbProcedure="0">Ubytovatel!$D$20</definedName>
    <definedName name="cob" hidden="0" function="0" vbProcedure="0">Ubytovatel!$D$16</definedName>
    <definedName name="cor" hidden="0" function="0" vbProcedure="0">Ubytovatel!$D$22</definedName>
    <definedName name="crtime" hidden="0" function="0" vbProcedure="0">Ubytovatel!$B$44</definedName>
    <definedName name="crtimecopy" hidden="0" function="0" vbProcedure="0">Ubytovatel!$D$32</definedName>
    <definedName name="dfltpath" hidden="0" function="0" vbProcedure="0">Ubytovatel!$B$41</definedName>
    <definedName name="dfltpathi" hidden="0" function="0" vbProcedure="0">Ubytovatel!$B$42</definedName>
    <definedName name="idub" hidden="0" function="0" vbProcedure="0">Ubytovatel!$D$4</definedName>
    <definedName name="ifname" hidden="0" function="0" vbProcedure="0">Ubytovatel!$B$43</definedName>
    <definedName name="ifnamecopy" hidden="0" function="0" vbProcedure="0">Ubytovatel!$D$30</definedName>
    <definedName name="kontakt" hidden="0" function="0" vbProcedure="0">Ubytovatel!$D$10</definedName>
    <definedName name="ob" hidden="0" function="0" vbProcedure="0">Ubytovatel!$D$14</definedName>
    <definedName name="obdobi_do" hidden="0" function="0" vbProcedure="0">Ubytovatel!$D$28</definedName>
    <definedName name="obdobi_od" hidden="0" function="0" vbProcedure="0">Ubytovatel!$D$26</definedName>
    <definedName name="okr" hidden="0" function="0" vbProcedure="0">Ubytovatel!$D$12</definedName>
    <definedName name="psc" hidden="0" function="0" vbProcedure="0">Ubytovatel!$D$24</definedName>
    <definedName name="uby" hidden="0" function="0" vbProcedure="0">Ubytovatel!$D$8</definedName>
    <definedName name="uli" hidden="0" function="0" vbProcedure="0">Ubytovatel!$D$18</definedName>
    <definedName name="zkratka" hidden="0" function="0" vbProcedure="0">Ubytovatel!$D$6</definedName>
    <definedName name="_xlfn_SINGLE" hidden="0" function="0" vbProcedure="0">none</definedName>
    <definedName name="_xlnm._FilterDatabase" localSheetId="1" hidden="1">'Seznam'!$A$1:$P$1</definedName>
  </definedNames>
  <calcPr calcId="124519" fullCalcOnLoad="1" refMode="A1" iterate="0" iterateCount="100" iterateDelta="0.001"/>
</workbook>
</file>

<file path=xl/styles.xml><?xml version="1.0" encoding="utf-8"?>
<styleSheet xmlns="http://schemas.openxmlformats.org/spreadsheetml/2006/main">
  <numFmts count="3">
    <numFmt numFmtId="164" formatCode="[$-409]m/d/yyyy"/>
    <numFmt numFmtId="165" formatCode="000\ 00"/>
    <numFmt numFmtId="166" formatCode="dd\.mm\.yyyy"/>
  </numFmts>
  <fonts count="14">
    <font>
      <name val="Arial CE"/>
      <charset val="238"/>
      <family val="0"/>
      <sz val="10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Calibri"/>
      <family val="2"/>
      <color rgb="FF000000"/>
      <sz val="11"/>
    </font>
    <font>
      <name val="Tahoma"/>
      <family val="2"/>
      <sz val="10"/>
    </font>
    <font>
      <name val="Arial"/>
      <charset val="238"/>
      <family val="2"/>
      <b val="1"/>
      <sz val="12"/>
    </font>
    <font>
      <name val="Arial"/>
      <family val="2"/>
      <b val="1"/>
      <sz val="12"/>
    </font>
    <font>
      <name val="Arial"/>
      <charset val="238"/>
      <family val="2"/>
      <sz val="12"/>
    </font>
    <font>
      <name val="Tahoma"/>
      <family val="2"/>
      <b val="1"/>
      <sz val="12"/>
    </font>
    <font>
      <name val="Tahoma"/>
      <family val="2"/>
      <b val="1"/>
      <sz val="10"/>
    </font>
    <font>
      <name val="Tahoma"/>
      <charset val="238"/>
      <family val="2"/>
      <sz val="10"/>
    </font>
    <font>
      <name val="Arial"/>
      <family val="2"/>
      <sz val="10"/>
    </font>
    <font>
      <name val="Arial"/>
      <family val="2"/>
      <b val="1"/>
      <sz val="10"/>
    </font>
  </fonts>
  <fills count="4">
    <fill>
      <patternFill/>
    </fill>
    <fill>
      <patternFill patternType="gray125"/>
    </fill>
    <fill>
      <patternFill patternType="solid">
        <fgColor rgb="FFC0C0C0"/>
        <bgColor rgb="FFCCCCFF"/>
      </patternFill>
    </fill>
    <fill>
      <patternFill patternType="solid">
        <fgColor rgb="FFFFFFFF"/>
        <bgColor rgb="FFFFFFCC"/>
      </patternFill>
    </fill>
  </fills>
  <borders count="10">
    <border>
      <left/>
      <right/>
      <top/>
      <bottom/>
      <diagonal/>
    </border>
    <border>
      <left style="thin">
        <color rgb="FFFFFFFF"/>
      </left>
      <right style="thin">
        <color rgb="FF333333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333333"/>
      </right>
      <top/>
      <bottom/>
      <diagonal/>
    </border>
    <border>
      <left style="thin">
        <color rgb="FFFFFFFF"/>
      </left>
      <right/>
      <top/>
      <bottom style="thin">
        <color rgb="FF333333"/>
      </bottom>
      <diagonal/>
    </border>
    <border>
      <left/>
      <right/>
      <top/>
      <bottom style="thin">
        <color rgb="FF333333"/>
      </bottom>
      <diagonal/>
    </border>
    <border>
      <left/>
      <right style="thin">
        <color rgb="FF333333"/>
      </right>
      <top/>
      <bottom style="thin">
        <color rgb="FF333333"/>
      </bottom>
      <diagonal/>
    </border>
    <border>
      <left style="thin"/>
      <right style="thin"/>
      <top style="thin"/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333333"/>
      </right>
      <top style="thin">
        <color rgb="FFFFFFFF"/>
      </top>
      <bottom/>
      <diagonal/>
    </border>
  </borders>
  <cellStyleXfs count="7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  <xf numFmtId="0" fontId="4" fillId="0" borderId="0" applyAlignment="1">
      <alignment horizontal="general" vertical="bottom"/>
    </xf>
  </cellStyleXfs>
  <cellXfs count="94">
    <xf numFmtId="0" fontId="0" fillId="0" borderId="0" applyAlignment="1" pivotButton="0" quotePrefix="0" xfId="0">
      <alignment horizontal="general" vertical="bottom"/>
    </xf>
    <xf numFmtId="0" fontId="5" fillId="0" borderId="0" applyAlignment="1" pivotButton="0" quotePrefix="0" xfId="0">
      <alignment horizontal="general" vertical="bottom"/>
    </xf>
    <xf numFmtId="0" fontId="5" fillId="0" borderId="0" applyAlignment="1" pivotButton="0" quotePrefix="0" xfId="0">
      <alignment horizontal="right" vertical="bottom"/>
    </xf>
    <xf numFmtId="0" fontId="6" fillId="2" borderId="1" applyAlignment="1" pivotButton="0" quotePrefix="0" xfId="0">
      <alignment horizontal="right" vertical="bottom"/>
    </xf>
    <xf numFmtId="0" fontId="7" fillId="2" borderId="2" applyAlignment="1" pivotButton="0" quotePrefix="0" xfId="0">
      <alignment horizontal="center" vertical="bottom"/>
    </xf>
    <xf numFmtId="0" fontId="9" fillId="2" borderId="0" applyAlignment="1" pivotButton="0" quotePrefix="0" xfId="0">
      <alignment horizontal="center" vertical="bottom"/>
    </xf>
    <xf numFmtId="0" fontId="9" fillId="2" borderId="3" applyAlignment="1" pivotButton="0" quotePrefix="0" xfId="0">
      <alignment horizontal="center" vertical="bottom"/>
    </xf>
    <xf numFmtId="0" fontId="5" fillId="2" borderId="2" applyAlignment="1" pivotButton="0" quotePrefix="0" xfId="0">
      <alignment horizontal="right" vertical="bottom"/>
    </xf>
    <xf numFmtId="0" fontId="5" fillId="2" borderId="0" applyAlignment="1" pivotButton="0" quotePrefix="0" xfId="0">
      <alignment horizontal="center" vertical="bottom"/>
    </xf>
    <xf numFmtId="1" fontId="5" fillId="3" borderId="0" applyAlignment="1" applyProtection="1" pivotButton="0" quotePrefix="0" xfId="0">
      <alignment horizontal="left" vertical="bottom"/>
      <protection locked="0" hidden="0"/>
    </xf>
    <xf numFmtId="0" fontId="10" fillId="2" borderId="0" applyAlignment="1" applyProtection="1" pivotButton="0" quotePrefix="0" xfId="0">
      <alignment horizontal="center" vertical="bottom"/>
      <protection locked="1" hidden="1"/>
    </xf>
    <xf numFmtId="0" fontId="5" fillId="2" borderId="0" applyAlignment="1" pivotButton="0" quotePrefix="0" xfId="0">
      <alignment horizontal="right" vertical="bottom"/>
    </xf>
    <xf numFmtId="0" fontId="5" fillId="2" borderId="0" applyAlignment="1" applyProtection="1" pivotButton="0" quotePrefix="0" xfId="0">
      <alignment horizontal="general" vertical="bottom"/>
      <protection locked="1" hidden="1"/>
    </xf>
    <xf numFmtId="0" fontId="5" fillId="2" borderId="3" applyAlignment="1" pivotButton="0" quotePrefix="0" xfId="0">
      <alignment horizontal="general" vertical="bottom"/>
    </xf>
    <xf numFmtId="0" fontId="11" fillId="0" borderId="0" applyAlignment="1" applyProtection="1" pivotButton="0" quotePrefix="0" xfId="0">
      <alignment horizontal="general" vertical="bottom"/>
      <protection locked="0" hidden="0"/>
    </xf>
    <xf numFmtId="0" fontId="9" fillId="2" borderId="0" applyAlignment="1" applyProtection="1" pivotButton="0" quotePrefix="0" xfId="0">
      <alignment horizontal="center" vertical="bottom"/>
      <protection locked="1" hidden="1"/>
    </xf>
    <xf numFmtId="49" fontId="5" fillId="3" borderId="0" applyAlignment="1" applyProtection="1" pivotButton="0" quotePrefix="0" xfId="0">
      <alignment horizontal="left" vertical="bottom"/>
      <protection locked="0" hidden="0"/>
    </xf>
    <xf numFmtId="49" fontId="5" fillId="3" borderId="0" applyAlignment="1" applyProtection="1" pivotButton="0" quotePrefix="0" xfId="0">
      <alignment horizontal="left" vertical="bottom" wrapText="1"/>
      <protection locked="0" hidden="0"/>
    </xf>
    <xf numFmtId="49" fontId="5" fillId="2" borderId="0" applyAlignment="1" pivotButton="0" quotePrefix="0" xfId="0">
      <alignment horizontal="left" vertical="bottom"/>
    </xf>
    <xf numFmtId="1" fontId="5" fillId="2" borderId="0" applyAlignment="1" pivotButton="0" quotePrefix="0" xfId="0">
      <alignment horizontal="left" vertical="bottom"/>
    </xf>
    <xf numFmtId="0" fontId="5" fillId="3" borderId="0" applyAlignment="1" applyProtection="1" pivotButton="0" quotePrefix="0" xfId="0">
      <alignment horizontal="left" vertical="bottom"/>
      <protection locked="0" hidden="0"/>
    </xf>
    <xf numFmtId="164" fontId="5" fillId="0" borderId="0" applyAlignment="1" pivotButton="0" quotePrefix="0" xfId="0">
      <alignment horizontal="general" vertical="bottom"/>
    </xf>
    <xf numFmtId="0" fontId="5" fillId="2" borderId="0" applyAlignment="1" pivotButton="0" quotePrefix="0" xfId="0">
      <alignment horizontal="left" vertical="bottom"/>
    </xf>
    <xf numFmtId="165" fontId="5" fillId="3" borderId="0" applyAlignment="1" applyProtection="1" pivotButton="0" quotePrefix="0" xfId="0">
      <alignment horizontal="left" vertical="bottom"/>
      <protection locked="0" hidden="0"/>
    </xf>
    <xf numFmtId="0" fontId="5" fillId="2" borderId="0" applyAlignment="1" pivotButton="0" quotePrefix="0" xfId="0">
      <alignment horizontal="general" vertical="bottom"/>
    </xf>
    <xf numFmtId="166" fontId="5" fillId="3" borderId="0" applyAlignment="1" applyProtection="1" pivotButton="0" quotePrefix="0" xfId="0">
      <alignment horizontal="left" vertical="bottom"/>
      <protection locked="0" hidden="0"/>
    </xf>
    <xf numFmtId="164" fontId="5" fillId="2" borderId="0" applyAlignment="1" pivotButton="0" quotePrefix="0" xfId="0">
      <alignment horizontal="left" vertical="bottom"/>
    </xf>
    <xf numFmtId="0" fontId="5" fillId="0" borderId="0" applyAlignment="1" pivotButton="0" quotePrefix="0" xfId="0">
      <alignment horizontal="general" vertical="bottom"/>
    </xf>
    <xf numFmtId="0" fontId="5" fillId="3" borderId="0" applyAlignment="1" applyProtection="1" pivotButton="0" quotePrefix="0" xfId="0">
      <alignment horizontal="left" vertical="bottom"/>
      <protection locked="1" hidden="1"/>
    </xf>
    <xf numFmtId="0" fontId="5" fillId="0" borderId="0" applyAlignment="1" applyProtection="1" pivotButton="0" quotePrefix="0" xfId="0">
      <alignment horizontal="left" vertical="bottom"/>
      <protection locked="1" hidden="1"/>
    </xf>
    <xf numFmtId="0" fontId="5" fillId="2" borderId="4" applyAlignment="1" pivotButton="0" quotePrefix="0" xfId="0">
      <alignment horizontal="right" vertical="bottom"/>
    </xf>
    <xf numFmtId="0" fontId="5" fillId="2" borderId="5" applyAlignment="1" pivotButton="0" quotePrefix="0" xfId="0">
      <alignment horizontal="right" vertical="bottom"/>
    </xf>
    <xf numFmtId="0" fontId="5" fillId="2" borderId="5" applyAlignment="1" pivotButton="0" quotePrefix="0" xfId="0">
      <alignment horizontal="general" vertical="bottom"/>
    </xf>
    <xf numFmtId="0" fontId="5" fillId="2" borderId="6" applyAlignment="1" pivotButton="0" quotePrefix="0" xfId="0">
      <alignment horizontal="general" vertical="bottom"/>
    </xf>
    <xf numFmtId="0" fontId="5" fillId="0" borderId="0" applyAlignment="1" applyProtection="1" pivotButton="0" quotePrefix="0" xfId="0">
      <alignment horizontal="left" vertical="bottom"/>
      <protection locked="0" hidden="0"/>
    </xf>
    <xf numFmtId="49" fontId="5" fillId="0" borderId="0" applyAlignment="1" applyProtection="1" pivotButton="0" quotePrefix="0" xfId="0">
      <alignment horizontal="left" vertical="bottom"/>
      <protection locked="0" hidden="0"/>
    </xf>
    <xf numFmtId="49" fontId="12" fillId="0" borderId="0" applyAlignment="1" applyProtection="1" pivotButton="0" quotePrefix="0" xfId="0">
      <alignment horizontal="center" vertical="bottom"/>
      <protection locked="0" hidden="0"/>
    </xf>
    <xf numFmtId="164" fontId="12" fillId="0" borderId="0" applyAlignment="1" applyProtection="1" pivotButton="0" quotePrefix="0" xfId="0">
      <alignment horizontal="general" vertical="bottom"/>
      <protection locked="0" hidden="0"/>
    </xf>
    <xf numFmtId="49" fontId="12" fillId="0" borderId="0" applyAlignment="1" applyProtection="1" pivotButton="0" quotePrefix="0" xfId="0">
      <alignment horizontal="general" vertical="bottom"/>
      <protection locked="0" hidden="0"/>
    </xf>
    <xf numFmtId="49" fontId="12" fillId="0" borderId="0" applyAlignment="1" pivotButton="0" quotePrefix="0" xfId="0">
      <alignment horizontal="general" vertical="bottom"/>
    </xf>
    <xf numFmtId="49" fontId="13" fillId="2" borderId="7" applyAlignment="1" applyProtection="1" pivotButton="0" quotePrefix="0" xfId="0">
      <alignment horizontal="center" vertical="center" wrapText="1"/>
      <protection locked="0" hidden="0"/>
    </xf>
    <xf numFmtId="164" fontId="13" fillId="2" borderId="7" applyAlignment="1" pivotButton="0" quotePrefix="0" xfId="0">
      <alignment horizontal="general" vertical="center" wrapText="1"/>
    </xf>
    <xf numFmtId="49" fontId="13" fillId="2" borderId="7" applyAlignment="1" pivotButton="0" quotePrefix="0" xfId="0">
      <alignment horizontal="general" vertical="center" wrapText="1"/>
    </xf>
    <xf numFmtId="49" fontId="12" fillId="2" borderId="0" applyAlignment="1" applyProtection="1" pivotButton="0" quotePrefix="0" xfId="0">
      <alignment horizontal="general" vertical="bottom"/>
      <protection locked="0" hidden="0"/>
    </xf>
    <xf numFmtId="49" fontId="13" fillId="0" borderId="0" applyAlignment="1" pivotButton="0" quotePrefix="0" xfId="0">
      <alignment horizontal="general" vertical="center" wrapText="1"/>
    </xf>
    <xf numFmtId="0" fontId="0" fillId="0" borderId="0" applyAlignment="1" pivotButton="0" quotePrefix="0" xfId="0">
      <alignment horizontal="left" vertical="bottom"/>
    </xf>
    <xf numFmtId="0" fontId="5" fillId="0" borderId="0" applyAlignment="1" pivotButton="0" quotePrefix="0" xfId="0">
      <alignment horizontal="general" vertical="bottom"/>
    </xf>
    <xf numFmtId="0" fontId="5" fillId="0" borderId="0" applyAlignment="1" pivotButton="0" quotePrefix="0" xfId="0">
      <alignment horizontal="right" vertical="bottom"/>
    </xf>
    <xf numFmtId="0" fontId="0" fillId="0" borderId="0" pivotButton="0" quotePrefix="0" xfId="0"/>
    <xf numFmtId="0" fontId="6" fillId="2" borderId="1" applyAlignment="1" pivotButton="0" quotePrefix="0" xfId="0">
      <alignment horizontal="right" vertical="bottom"/>
    </xf>
    <xf numFmtId="0" fontId="0" fillId="0" borderId="8" pivotButton="0" quotePrefix="0" xfId="0"/>
    <xf numFmtId="0" fontId="0" fillId="0" borderId="9" pivotButton="0" quotePrefix="0" xfId="0"/>
    <xf numFmtId="0" fontId="7" fillId="2" borderId="2" applyAlignment="1" pivotButton="0" quotePrefix="0" xfId="0">
      <alignment horizontal="center" vertical="bottom"/>
    </xf>
    <xf numFmtId="0" fontId="9" fillId="2" borderId="0" applyAlignment="1" pivotButton="0" quotePrefix="0" xfId="0">
      <alignment horizontal="center" vertical="bottom"/>
    </xf>
    <xf numFmtId="0" fontId="9" fillId="2" borderId="3" applyAlignment="1" pivotButton="0" quotePrefix="0" xfId="0">
      <alignment horizontal="center" vertical="bottom"/>
    </xf>
    <xf numFmtId="0" fontId="5" fillId="2" borderId="2" applyAlignment="1" pivotButton="0" quotePrefix="0" xfId="0">
      <alignment horizontal="right" vertical="bottom"/>
    </xf>
    <xf numFmtId="0" fontId="5" fillId="2" borderId="0" applyAlignment="1" pivotButton="0" quotePrefix="0" xfId="0">
      <alignment horizontal="center" vertical="bottom"/>
    </xf>
    <xf numFmtId="1" fontId="5" fillId="3" borderId="0" applyAlignment="1" applyProtection="1" pivotButton="0" quotePrefix="0" xfId="0">
      <alignment horizontal="left" vertical="bottom"/>
      <protection locked="0" hidden="0"/>
    </xf>
    <xf numFmtId="0" fontId="10" fillId="2" borderId="0" applyAlignment="1" applyProtection="1" pivotButton="0" quotePrefix="0" xfId="0">
      <alignment horizontal="center" vertical="bottom"/>
      <protection locked="1" hidden="1"/>
    </xf>
    <xf numFmtId="0" fontId="5" fillId="2" borderId="0" applyAlignment="1" pivotButton="0" quotePrefix="0" xfId="0">
      <alignment horizontal="right" vertical="bottom"/>
    </xf>
    <xf numFmtId="0" fontId="5" fillId="2" borderId="0" applyAlignment="1" applyProtection="1" pivotButton="0" quotePrefix="0" xfId="0">
      <alignment horizontal="general" vertical="bottom"/>
      <protection locked="1" hidden="1"/>
    </xf>
    <xf numFmtId="0" fontId="5" fillId="2" borderId="3" applyAlignment="1" pivotButton="0" quotePrefix="0" xfId="0">
      <alignment horizontal="general" vertical="bottom"/>
    </xf>
    <xf numFmtId="0" fontId="11" fillId="0" borderId="0" applyAlignment="1" applyProtection="1" pivotButton="0" quotePrefix="0" xfId="0">
      <alignment horizontal="general" vertical="bottom"/>
      <protection locked="0" hidden="0"/>
    </xf>
    <xf numFmtId="0" fontId="9" fillId="2" borderId="0" applyAlignment="1" applyProtection="1" pivotButton="0" quotePrefix="0" xfId="0">
      <alignment horizontal="center" vertical="bottom"/>
      <protection locked="1" hidden="1"/>
    </xf>
    <xf numFmtId="49" fontId="5" fillId="3" borderId="0" applyAlignment="1" applyProtection="1" pivotButton="0" quotePrefix="0" xfId="0">
      <alignment horizontal="left" vertical="bottom"/>
      <protection locked="0" hidden="0"/>
    </xf>
    <xf numFmtId="49" fontId="5" fillId="3" borderId="0" applyAlignment="1" applyProtection="1" pivotButton="0" quotePrefix="0" xfId="0">
      <alignment horizontal="left" vertical="bottom" wrapText="1"/>
      <protection locked="0" hidden="0"/>
    </xf>
    <xf numFmtId="49" fontId="5" fillId="2" borderId="0" applyAlignment="1" pivotButton="0" quotePrefix="0" xfId="0">
      <alignment horizontal="left" vertical="bottom"/>
    </xf>
    <xf numFmtId="1" fontId="5" fillId="2" borderId="0" applyAlignment="1" pivotButton="0" quotePrefix="0" xfId="0">
      <alignment horizontal="left" vertical="bottom"/>
    </xf>
    <xf numFmtId="0" fontId="5" fillId="3" borderId="0" applyAlignment="1" applyProtection="1" pivotButton="0" quotePrefix="0" xfId="0">
      <alignment horizontal="left" vertical="bottom"/>
      <protection locked="0" hidden="0"/>
    </xf>
    <xf numFmtId="164" fontId="5" fillId="0" borderId="0" applyAlignment="1" pivotButton="0" quotePrefix="0" xfId="0">
      <alignment horizontal="general" vertical="bottom"/>
    </xf>
    <xf numFmtId="0" fontId="5" fillId="2" borderId="0" applyAlignment="1" pivotButton="0" quotePrefix="0" xfId="0">
      <alignment horizontal="left" vertical="bottom"/>
    </xf>
    <xf numFmtId="165" fontId="5" fillId="3" borderId="0" applyAlignment="1" applyProtection="1" pivotButton="0" quotePrefix="0" xfId="0">
      <alignment horizontal="left" vertical="bottom"/>
      <protection locked="0" hidden="0"/>
    </xf>
    <xf numFmtId="0" fontId="5" fillId="2" borderId="0" applyAlignment="1" pivotButton="0" quotePrefix="0" xfId="0">
      <alignment horizontal="general" vertical="bottom"/>
    </xf>
    <xf numFmtId="166" fontId="5" fillId="3" borderId="0" applyAlignment="1" applyProtection="1" pivotButton="0" quotePrefix="0" xfId="0">
      <alignment horizontal="left" vertical="bottom"/>
      <protection locked="0" hidden="0"/>
    </xf>
    <xf numFmtId="164" fontId="5" fillId="2" borderId="0" applyAlignment="1" pivotButton="0" quotePrefix="0" xfId="0">
      <alignment horizontal="left" vertical="bottom"/>
    </xf>
    <xf numFmtId="0" fontId="5" fillId="3" borderId="0" applyAlignment="1" applyProtection="1" pivotButton="0" quotePrefix="0" xfId="0">
      <alignment horizontal="left" vertical="bottom"/>
      <protection locked="1" hidden="1"/>
    </xf>
    <xf numFmtId="0" fontId="5" fillId="0" borderId="0" applyAlignment="1" applyProtection="1" pivotButton="0" quotePrefix="0" xfId="0">
      <alignment horizontal="left" vertical="bottom"/>
      <protection locked="1" hidden="1"/>
    </xf>
    <xf numFmtId="0" fontId="5" fillId="2" borderId="4" applyAlignment="1" pivotButton="0" quotePrefix="0" xfId="0">
      <alignment horizontal="right" vertical="bottom"/>
    </xf>
    <xf numFmtId="0" fontId="5" fillId="2" borderId="5" applyAlignment="1" pivotButton="0" quotePrefix="0" xfId="0">
      <alignment horizontal="right" vertical="bottom"/>
    </xf>
    <xf numFmtId="0" fontId="5" fillId="2" borderId="5" applyAlignment="1" pivotButton="0" quotePrefix="0" xfId="0">
      <alignment horizontal="general" vertical="bottom"/>
    </xf>
    <xf numFmtId="0" fontId="5" fillId="2" borderId="6" applyAlignment="1" pivotButton="0" quotePrefix="0" xfId="0">
      <alignment horizontal="general" vertical="bottom"/>
    </xf>
    <xf numFmtId="0" fontId="5" fillId="0" borderId="0" applyAlignment="1" applyProtection="1" pivotButton="0" quotePrefix="0" xfId="0">
      <alignment horizontal="left" vertical="bottom"/>
      <protection locked="0" hidden="0"/>
    </xf>
    <xf numFmtId="49" fontId="5" fillId="0" borderId="0" applyAlignment="1" applyProtection="1" pivotButton="0" quotePrefix="0" xfId="0">
      <alignment horizontal="left" vertical="bottom"/>
      <protection locked="0" hidden="0"/>
    </xf>
    <xf numFmtId="49" fontId="12" fillId="0" borderId="0" applyAlignment="1" applyProtection="1" pivotButton="0" quotePrefix="0" xfId="0">
      <alignment horizontal="center" vertical="bottom"/>
      <protection locked="0" hidden="0"/>
    </xf>
    <xf numFmtId="164" fontId="12" fillId="0" borderId="0" applyAlignment="1" applyProtection="1" pivotButton="0" quotePrefix="0" xfId="0">
      <alignment horizontal="general" vertical="bottom"/>
      <protection locked="0" hidden="0"/>
    </xf>
    <xf numFmtId="49" fontId="12" fillId="0" borderId="0" applyAlignment="1" applyProtection="1" pivotButton="0" quotePrefix="0" xfId="0">
      <alignment horizontal="general" vertical="bottom"/>
      <protection locked="0" hidden="0"/>
    </xf>
    <xf numFmtId="49" fontId="12" fillId="0" borderId="0" applyAlignment="1" pivotButton="0" quotePrefix="0" xfId="0">
      <alignment horizontal="general" vertical="bottom"/>
    </xf>
    <xf numFmtId="49" fontId="13" fillId="2" borderId="7" applyAlignment="1" applyProtection="1" pivotButton="0" quotePrefix="0" xfId="0">
      <alignment horizontal="center" vertical="center" wrapText="1"/>
      <protection locked="0" hidden="0"/>
    </xf>
    <xf numFmtId="164" fontId="13" fillId="2" borderId="7" applyAlignment="1" pivotButton="0" quotePrefix="0" xfId="0">
      <alignment horizontal="general" vertical="center" wrapText="1"/>
    </xf>
    <xf numFmtId="49" fontId="13" fillId="2" borderId="7" applyAlignment="1" pivotButton="0" quotePrefix="0" xfId="0">
      <alignment horizontal="general" vertical="center" wrapText="1"/>
    </xf>
    <xf numFmtId="49" fontId="12" fillId="2" borderId="0" applyAlignment="1" applyProtection="1" pivotButton="0" quotePrefix="0" xfId="0">
      <alignment horizontal="general" vertical="bottom"/>
      <protection locked="0" hidden="0"/>
    </xf>
    <xf numFmtId="49" fontId="13" fillId="0" borderId="0" applyAlignment="1" pivotButton="0" quotePrefix="0" xfId="0">
      <alignment horizontal="general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left" vertical="bottom"/>
    </xf>
  </cellXfs>
  <cellStyles count="7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  <cellStyle name="Normální 2" xfId="6"/>
  </cellStyles>
  <dxfs count="2">
    <dxf>
      <fill>
        <patternFill patternType="solid">
          <fgColor rgb="FFC0C0C0"/>
          <bgColor rgb="FF000000"/>
        </patternFill>
      </fill>
    </dxf>
    <dxf>
      <fill>
        <patternFill patternType="solid">
          <bgColor rgb="FF000000"/>
        </patternFill>
      </fill>
    </dxf>
  </dxf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B2:L44"/>
  <sheetViews>
    <sheetView showFormulas="0" showGridLines="0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H33" activeCellId="0" sqref="H33"/>
    </sheetView>
  </sheetViews>
  <sheetFormatPr baseColWidth="8" defaultColWidth="9.13671875" defaultRowHeight="12.75" customHeight="1" zeroHeight="0" outlineLevelRow="0"/>
  <cols>
    <col width="9.140000000000001" customWidth="1" style="46" min="1" max="1"/>
    <col width="22.14" customWidth="1" style="47" min="2" max="2"/>
    <col width="0.99" customWidth="1" style="47" min="3" max="3"/>
    <col width="61.56" customWidth="1" style="47" min="4" max="4"/>
    <col width="2.28" customWidth="1" style="46" min="5" max="5"/>
    <col width="0.13" customWidth="1" style="46" min="6" max="6"/>
    <col width="9.140000000000001" customWidth="1" style="46" min="7" max="7"/>
    <col width="11.13" customWidth="1" style="46" min="8" max="8"/>
    <col width="9.140000000000001" customWidth="1" style="46" min="9" max="257"/>
  </cols>
  <sheetData>
    <row r="1" ht="27.75" customHeight="1" s="48"/>
    <row r="2" ht="21" customHeight="1" s="48">
      <c r="B2" s="49" t="inlineStr">
        <is>
          <t>CIS – SEZNAM UBYTOVANÝCH                           (verze SDF)</t>
        </is>
      </c>
      <c r="C2" s="50" t="n"/>
      <c r="D2" s="50" t="n"/>
      <c r="E2" s="50" t="n"/>
      <c r="F2" s="51" t="n"/>
    </row>
    <row r="3" ht="21" customHeight="1" s="48">
      <c r="B3" s="52" t="n"/>
      <c r="C3" s="53" t="n"/>
      <c r="D3" s="53" t="n"/>
      <c r="E3" s="53" t="n"/>
      <c r="F3" s="54" t="n"/>
    </row>
    <row r="4" ht="12.75" customHeight="1" s="48">
      <c r="B4" s="55" t="inlineStr">
        <is>
          <t>IDUB:</t>
        </is>
      </c>
      <c r="C4" s="56" t="n"/>
      <c r="D4" s="57" t="n">
        <v>100363080249</v>
      </c>
      <c r="E4" s="58">
        <f>checkidub(idub)</f>
        <v/>
      </c>
      <c r="F4" s="54" t="n"/>
    </row>
    <row r="5" ht="5.1" customHeight="1" s="48">
      <c r="B5" s="55" t="n"/>
      <c r="C5" s="59" t="n"/>
      <c r="D5" s="59" t="n"/>
      <c r="E5" s="60" t="n"/>
      <c r="F5" s="61" t="n"/>
    </row>
    <row r="6" ht="12.75" customHeight="1" s="48">
      <c r="B6" s="55" t="inlineStr">
        <is>
          <t>(Vám přidělená) zkratka:</t>
        </is>
      </c>
      <c r="C6" s="56" t="n"/>
      <c r="D6" s="62" t="inlineStr">
        <is>
          <t>FMILV</t>
        </is>
      </c>
      <c r="E6" s="63" t="n"/>
      <c r="F6" s="54" t="n"/>
    </row>
    <row r="7" ht="5.1" customHeight="1" s="48">
      <c r="B7" s="55" t="n"/>
      <c r="C7" s="59" t="n"/>
      <c r="D7" s="59" t="n"/>
      <c r="E7" s="60" t="n"/>
      <c r="F7" s="61" t="n"/>
    </row>
    <row r="8" ht="12.75" customHeight="1" s="48">
      <c r="B8" s="55" t="inlineStr">
        <is>
          <t>název ubytovatele:</t>
        </is>
      </c>
      <c r="C8" s="59" t="n"/>
      <c r="D8" s="64" t="inlineStr">
        <is>
          <t>Holiday Inn Prague Congress Centre</t>
        </is>
      </c>
      <c r="E8" s="60" t="n"/>
      <c r="F8" s="61" t="n"/>
    </row>
    <row r="9" ht="5.1" customHeight="1" s="48">
      <c r="B9" s="55" t="n"/>
      <c r="C9" s="59" t="n"/>
      <c r="D9" s="59" t="n"/>
      <c r="E9" s="60" t="n"/>
      <c r="F9" s="61" t="n"/>
    </row>
    <row r="10" ht="12.75" customHeight="1" s="48">
      <c r="B10" s="55" t="inlineStr">
        <is>
          <t>kontakt:</t>
        </is>
      </c>
      <c r="C10" s="59" t="n"/>
      <c r="D10" s="65" t="inlineStr">
        <is>
          <t>Marcela Neradova 296895055</t>
        </is>
      </c>
      <c r="E10" s="60" t="n"/>
      <c r="F10" s="61" t="n"/>
    </row>
    <row r="11" ht="5.1" customHeight="1" s="48">
      <c r="B11" s="55" t="n"/>
      <c r="C11" s="59" t="n"/>
      <c r="D11" s="66" t="n"/>
      <c r="E11" s="60" t="n"/>
      <c r="F11" s="61" t="n"/>
    </row>
    <row r="12" ht="12.75" customHeight="1" s="48">
      <c r="B12" s="55" t="inlineStr">
        <is>
          <t>okres:</t>
        </is>
      </c>
      <c r="C12" s="59" t="n"/>
      <c r="D12" s="64" t="inlineStr">
        <is>
          <t>Praha</t>
        </is>
      </c>
      <c r="E12" s="60" t="n"/>
      <c r="F12" s="61" t="n"/>
    </row>
    <row r="13" ht="5.1" customHeight="1" s="48">
      <c r="B13" s="55" t="n"/>
      <c r="C13" s="59" t="n"/>
      <c r="D13" s="66" t="n"/>
      <c r="E13" s="60" t="n"/>
      <c r="F13" s="61" t="n"/>
    </row>
    <row r="14" ht="12.75" customHeight="1" s="48">
      <c r="B14" s="55" t="inlineStr">
        <is>
          <t>obec:</t>
        </is>
      </c>
      <c r="C14" s="59" t="n"/>
      <c r="D14" s="64" t="inlineStr">
        <is>
          <t>Praha</t>
        </is>
      </c>
      <c r="E14" s="60" t="n"/>
      <c r="F14" s="61" t="n"/>
    </row>
    <row r="15" ht="5.1" customHeight="1" s="48">
      <c r="B15" s="55" t="n"/>
      <c r="C15" s="59" t="n"/>
      <c r="D15" s="66" t="n"/>
      <c r="E15" s="60" t="n"/>
      <c r="F15" s="61" t="n"/>
    </row>
    <row r="16" ht="12.75" customHeight="1" s="48">
      <c r="B16" s="55" t="inlineStr">
        <is>
          <t>část obce:</t>
        </is>
      </c>
      <c r="C16" s="59" t="n"/>
      <c r="D16" s="64" t="inlineStr">
        <is>
          <t>Praha 4</t>
        </is>
      </c>
      <c r="E16" s="60" t="n"/>
      <c r="F16" s="61" t="n"/>
    </row>
    <row r="17" ht="5.1" customHeight="1" s="48">
      <c r="B17" s="55" t="n"/>
      <c r="C17" s="59" t="n"/>
      <c r="D17" s="66" t="n"/>
      <c r="E17" s="60" t="n"/>
      <c r="F17" s="61" t="n"/>
    </row>
    <row r="18" ht="12.75" customHeight="1" s="48">
      <c r="B18" s="55" t="inlineStr">
        <is>
          <t>ulice:</t>
        </is>
      </c>
      <c r="C18" s="59" t="n"/>
      <c r="D18" s="64" t="inlineStr">
        <is>
          <t>5.kvetna</t>
        </is>
      </c>
      <c r="E18" s="60" t="n"/>
      <c r="F18" s="61" t="n"/>
    </row>
    <row r="19" ht="5.1" customHeight="1" s="48">
      <c r="B19" s="55" t="n"/>
      <c r="C19" s="59" t="n"/>
      <c r="D19" s="66" t="n"/>
      <c r="E19" s="60" t="n"/>
      <c r="F19" s="61" t="n"/>
    </row>
    <row r="20" ht="12.75" customHeight="1" s="48">
      <c r="B20" s="55" t="inlineStr">
        <is>
          <t>domovní číslo:</t>
        </is>
      </c>
      <c r="C20" s="59" t="n"/>
      <c r="D20" s="57" t="n">
        <v>65</v>
      </c>
      <c r="E20" s="60">
        <f>checkcd(cd)</f>
        <v/>
      </c>
      <c r="F20" s="61" t="n"/>
    </row>
    <row r="21" ht="5.1" customHeight="1" s="48">
      <c r="B21" s="55" t="n"/>
      <c r="C21" s="59" t="n"/>
      <c r="D21" s="67" t="n"/>
      <c r="E21" s="60" t="n"/>
      <c r="F21" s="61" t="n"/>
    </row>
    <row r="22" ht="12.75" customHeight="1" s="48">
      <c r="B22" s="55" t="inlineStr">
        <is>
          <t>orientační číslo:</t>
        </is>
      </c>
      <c r="C22" s="59" t="n"/>
      <c r="D22" s="68" t="n">
        <v>1</v>
      </c>
      <c r="E22" s="60">
        <f>checkcor(cor)</f>
        <v/>
      </c>
      <c r="F22" s="61" t="n"/>
      <c r="H22" s="69" t="n"/>
    </row>
    <row r="23" ht="5.1" customHeight="1" s="48">
      <c r="B23" s="55" t="n"/>
      <c r="C23" s="59" t="n"/>
      <c r="D23" s="70" t="n"/>
      <c r="E23" s="60" t="n"/>
      <c r="F23" s="61" t="n"/>
    </row>
    <row r="24" ht="12.75" customHeight="1" s="48">
      <c r="B24" s="55" t="inlineStr">
        <is>
          <t>PSČ:</t>
        </is>
      </c>
      <c r="C24" s="59" t="n"/>
      <c r="D24" s="71" t="n">
        <v>14021</v>
      </c>
      <c r="E24" s="60" t="n"/>
      <c r="F24" s="61" t="n"/>
    </row>
    <row r="25" ht="25.5" customHeight="1" s="48">
      <c r="B25" s="55" t="n"/>
      <c r="C25" s="59" t="n"/>
      <c r="D25" s="70" t="n"/>
      <c r="E25" s="72" t="n"/>
      <c r="F25" s="61" t="n"/>
    </row>
    <row r="26" ht="12.75" customHeight="1" s="48">
      <c r="B26" s="55" t="inlineStr">
        <is>
          <t>období od:</t>
        </is>
      </c>
      <c r="C26" s="59" t="n"/>
      <c r="D26" s="73" t="n">
        <v>42736</v>
      </c>
      <c r="E26" s="72" t="n"/>
      <c r="F26" s="61" t="n"/>
    </row>
    <row r="27" ht="5.1" customHeight="1" s="48">
      <c r="B27" s="55" t="n"/>
      <c r="C27" s="59" t="n"/>
      <c r="D27" s="74" t="n"/>
      <c r="E27" s="72" t="n"/>
      <c r="F27" s="61" t="n"/>
    </row>
    <row r="28" ht="12.75" customHeight="1" s="48">
      <c r="B28" s="55" t="inlineStr">
        <is>
          <t>období do:</t>
        </is>
      </c>
      <c r="C28" s="59" t="n"/>
      <c r="D28" s="73" t="n">
        <v>47149</v>
      </c>
      <c r="E28" s="72" t="n"/>
      <c r="F28" s="61" t="n"/>
      <c r="L28" s="46" t="n"/>
    </row>
    <row r="29" ht="12.75" customHeight="1" s="48">
      <c r="B29" s="55" t="n"/>
      <c r="C29" s="59" t="n"/>
      <c r="D29" s="59" t="n"/>
      <c r="E29" s="72" t="n"/>
      <c r="F29" s="61" t="n"/>
    </row>
    <row r="30" ht="12.75" customHeight="1" s="48">
      <c r="B30" s="55" t="inlineStr">
        <is>
          <t>importovaný soubor:</t>
        </is>
      </c>
      <c r="C30" s="59" t="n"/>
      <c r="D30" s="75">
        <f>IF(ifname=0,"",ifname)</f>
        <v/>
      </c>
      <c r="E30" s="72" t="n"/>
      <c r="F30" s="61" t="n"/>
    </row>
    <row r="31" ht="5.1" customHeight="1" s="48">
      <c r="B31" s="55" t="n"/>
      <c r="C31" s="59" t="n"/>
      <c r="D31" s="74" t="n"/>
      <c r="E31" s="72" t="n"/>
      <c r="F31" s="61" t="n"/>
    </row>
    <row r="32" ht="12.75" customHeight="1" s="48">
      <c r="B32" s="55" t="inlineStr">
        <is>
          <t>datum vytvoření:</t>
        </is>
      </c>
      <c r="C32" s="59" t="n"/>
      <c r="D32" s="76">
        <f>IF(crtime=0,"",crtime)</f>
        <v/>
      </c>
      <c r="E32" s="72" t="n"/>
      <c r="F32" s="61" t="n"/>
      <c r="L32" s="46" t="n"/>
    </row>
    <row r="33" ht="26.25" customHeight="1" s="48">
      <c r="B33" s="55" t="n"/>
      <c r="C33" s="59" t="n"/>
      <c r="D33" s="59" t="n"/>
      <c r="E33" s="72" t="n"/>
      <c r="F33" s="61" t="n"/>
    </row>
    <row r="34" ht="28.5" customHeight="1" s="48">
      <c r="B34" s="55" t="n"/>
      <c r="C34" s="59" t="n"/>
      <c r="D34" s="59" t="n"/>
      <c r="E34" s="72" t="n"/>
      <c r="F34" s="61" t="n"/>
    </row>
    <row r="35" ht="12.75" customHeight="1" s="48">
      <c r="B35" s="55" t="n"/>
      <c r="C35" s="59" t="n"/>
      <c r="D35" s="59" t="n"/>
      <c r="E35" s="72" t="n"/>
      <c r="F35" s="61" t="n"/>
    </row>
    <row r="36" ht="12.75" customHeight="1" s="48">
      <c r="B36" s="55" t="n"/>
      <c r="C36" s="59" t="n"/>
      <c r="D36" s="59" t="n"/>
      <c r="E36" s="72" t="n"/>
      <c r="F36" s="61" t="n"/>
    </row>
    <row r="37" ht="12.75" customHeight="1" s="48">
      <c r="B37" s="77" t="n"/>
      <c r="C37" s="78" t="n"/>
      <c r="D37" s="78" t="n"/>
      <c r="E37" s="79" t="n"/>
      <c r="F37" s="80" t="n"/>
    </row>
    <row r="39" hidden="1" ht="12.75" customHeight="1" s="48"/>
    <row r="40" hidden="1" ht="14.25" customHeight="1" s="48"/>
    <row r="41" hidden="1" ht="12.75" customHeight="1" s="48">
      <c r="B41" s="81" t="inlineStr">
        <is>
          <t>C:\Users\recepce.6\OneDrive - Prague Congress Centre\Plocha\Cizinec. Policie\ubydata export\</t>
        </is>
      </c>
    </row>
    <row r="42" hidden="1" ht="12.75" customHeight="1" s="48">
      <c r="B42" s="81" t="inlineStr">
        <is>
          <t>O:\130-recepce\recepce\Opera export\</t>
        </is>
      </c>
    </row>
    <row r="43" hidden="1" ht="12.75" customHeight="1" s="48">
      <c r="B43" s="82" t="inlineStr">
        <is>
          <t>O:\130-recepce\recepce\Opera export\prgnp_police_export_new78922008.unl</t>
        </is>
      </c>
    </row>
    <row r="44" hidden="1" ht="12.75" customHeight="1" s="48">
      <c r="B44" s="82" t="inlineStr">
        <is>
          <t>2025.06.21 01:47:43</t>
        </is>
      </c>
    </row>
    <row r="45" hidden="1" ht="12.75" customHeight="1" s="48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d8af"/>
  <mergeCells count="1">
    <mergeCell ref="B2:F2"/>
  </mergeCells>
  <dataValidations count="15">
    <dataValidation sqref="D27 D31" showDropDown="0" showInputMessage="0" showErrorMessage="1" allowBlank="1" type="date" errorStyle="stop" operator="between">
      <formula1>37987</formula1>
      <formula2>43831</formula2>
    </dataValidation>
    <dataValidation sqref="D21" showDropDown="0" showInputMessage="0" showErrorMessage="1" allowBlank="0" type="whole" errorStyle="stop" operator="between">
      <formula1>1</formula1>
      <formula2>9999</formula2>
    </dataValidation>
    <dataValidation sqref="D13 D15 D17" showDropDown="0" showInputMessage="0" showErrorMessage="1" allowBlank="0" type="textLength" errorStyle="stop" operator="greaterThan">
      <formula1>1</formula1>
      <formula2>0</formula2>
    </dataValidation>
    <dataValidation sqref="D28" showDropDown="0" showInputMessage="1" showErrorMessage="1" allowBlank="1" promptTitle="Období do" prompt="Konec intervalu povoleného data ubytování. Slouží pro kontrolu vkládaných dat.&#10;Musí být vyšší, než počátek intervalu." type="date" errorStyle="stop" operator="greaterThanOrEqual">
      <formula1>D26</formula1>
      <formula2>0</formula2>
    </dataValidation>
    <dataValidation sqref="D4" showDropDown="0" showInputMessage="1" showErrorMessage="1" allowBlank="0" errorTitle="Identifikátor ubytovatele" error="Povinný údaj." promptTitle="Identifikátor ubytovatele" prompt="Zadejte přidělený identifikátor." type="textLength" errorStyle="stop" operator="between">
      <formula1>2</formula1>
      <formula2>14</formula2>
    </dataValidation>
    <dataValidation sqref="D10" showDropDown="0" showInputMessage="1" showErrorMessage="1" allowBlank="1" error="Nesprávný počet znaků." promptTitle="Kontaktní osoba" prompt="Uveďte i telefon popř. e-mail. &#10;Maximální dálka 50 znaků." type="textLength" errorStyle="stop" operator="between">
      <formula1>1</formula1>
      <formula2>50</formula2>
    </dataValidation>
    <dataValidation sqref="D8" showDropDown="0" showInputMessage="1" showErrorMessage="1" allowBlank="0" errorTitle="Název ubytovatele" error="Povinný údaj." promptTitle="Název ubytovatele" prompt="Zadejte název ubytovatele. Maximální délka je 35 znaků." type="textLength" errorStyle="stop" operator="between">
      <formula1>1</formula1>
      <formula2>35</formula2>
    </dataValidation>
    <dataValidation sqref="D12" showDropDown="0" showInputMessage="1" showErrorMessage="1" allowBlank="0" errorTitle="Okres" error="Povinný údaj." promptTitle="Okres" prompt="Zadejte název okresu." type="textLength" errorStyle="stop" operator="between">
      <formula1>4</formula1>
      <formula2>32</formula2>
    </dataValidation>
    <dataValidation sqref="D14" showDropDown="0" showInputMessage="1" showErrorMessage="1" allowBlank="0" errorTitle="Obec" error="Povinný údaj." promptTitle="Obec" prompt="Zadejte název obce." type="textLength" errorStyle="stop" operator="between">
      <formula1>2</formula1>
      <formula2>48</formula2>
    </dataValidation>
    <dataValidation sqref="D16" showDropDown="0" showInputMessage="1" showErrorMessage="1" allowBlank="0" errorTitle="Část obce" error="Povinný údaj." promptTitle="Část obce" prompt="Zadejte název části obce." type="textLength" errorStyle="stop" operator="between">
      <formula1>2</formula1>
      <formula2>48</formula2>
    </dataValidation>
    <dataValidation sqref="D18" showDropDown="0" showInputMessage="1" showErrorMessage="1" allowBlank="1" promptTitle="Ulice" prompt="Zadejte název veřejného prostranství (ulice, náměstí, ...)" type="textLength" errorStyle="stop" operator="between">
      <formula1>2</formula1>
      <formula2>48</formula2>
    </dataValidation>
    <dataValidation sqref="D20" showDropDown="0" showInputMessage="1" showErrorMessage="1" allowBlank="0" errorTitle="Domovní číslo" error="Povinný údaj." promptTitle="Domovní číslo" prompt="Zadejte číslo popisné (hodnoty 1 až 9999), nebo číslo evidenční (hodnoty 1E až 9999E)." type="textLength" errorStyle="stop" operator="between">
      <formula1>1</formula1>
      <formula2>5</formula2>
    </dataValidation>
    <dataValidation sqref="D22" showDropDown="0" showInputMessage="1" showErrorMessage="1" allowBlank="1" promptTitle="Orientační číslo" prompt="Zadejte číslo orientační v rozsahu 1 až 999 případně doplněné znakem čísla orientačního (písmeno a až z)." type="textLength" errorStyle="stop" operator="between">
      <formula1>1</formula1>
      <formula2>4</formula2>
    </dataValidation>
    <dataValidation sqref="D24" showDropDown="0" showInputMessage="1" showErrorMessage="1" allowBlank="1" promptTitle="PSČ" prompt="Zadejte pětimístné doručovací poštovní směrovací číslo." type="whole" errorStyle="stop" operator="between">
      <formula1>10000</formula1>
      <formula2>99999</formula2>
    </dataValidation>
    <dataValidation sqref="D26" showDropDown="0" showInputMessage="1" showErrorMessage="1" allowBlank="1" promptTitle="Období od" prompt="Počátek intervalu povoleného data ubytování. Slouží pro kontrolu vkládaných dat." type="date" errorStyle="stop" operator="between">
      <formula1>DATE(2004,1,1)</formula1>
      <formula2>DATE(2020,1,1)</formula2>
    </dataValidation>
  </dataValidations>
  <printOptions horizontalCentered="0" verticalCentered="0" headings="0" gridLines="0" gridLinesSet="1"/>
  <pageMargins left="0.7875" right="0.7875" top="0.9840277777777779" bottom="0.9840277777777779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2.xml><?xml version="1.0" encoding="utf-8"?>
<worksheet xmlns="http://schemas.openxmlformats.org/spreadsheetml/2006/main">
  <sheetPr filterMode="0">
    <outlinePr summaryBelow="1" summaryRight="1"/>
    <pageSetUpPr fitToPage="1"/>
  </sheetPr>
  <dimension ref="A1:IW100"/>
  <sheetViews>
    <sheetView showFormulas="0" showGridLines="1" showRowColHeaders="1" showZeros="1" rightToLeft="0" tabSelected="1" showOutlineSymbols="1" defaultGridColor="1" view="normal" topLeftCell="A1" colorId="64" zoomScale="90" zoomScaleNormal="90" zoomScalePageLayoutView="100" workbookViewId="0">
      <pane xSplit="0" ySplit="1" topLeftCell="A18" activePane="bottomLeft" state="frozen"/>
      <selection pane="topLeft" activeCell="A1" activeCellId="0" sqref="A1"/>
      <selection pane="bottomLeft" activeCell="A144" activeCellId="0" sqref="A144"/>
    </sheetView>
  </sheetViews>
  <sheetFormatPr baseColWidth="8" defaultColWidth="9.13671875" defaultRowHeight="12.75" customHeight="1" zeroHeight="0" outlineLevelRow="0"/>
  <cols>
    <col width="2.7" customWidth="1" style="83" min="1" max="1"/>
    <col width="12.28" customWidth="1" style="84" min="2" max="3"/>
    <col width="29.13" customWidth="1" style="85" min="4" max="5"/>
    <col width="4.28" customWidth="1" style="85" min="6" max="6"/>
    <col width="11.13" customWidth="1" style="84" min="7" max="7"/>
    <col hidden="1" width="7.99" customWidth="1" style="85" min="8" max="8"/>
    <col hidden="1" width="0.41" customWidth="1" style="85" min="9" max="9"/>
    <col width="9.56" customWidth="1" style="85" min="10" max="10"/>
    <col width="56.56" customWidth="1" style="85" min="11" max="11"/>
    <col width="15.56" customWidth="1" style="85" min="12" max="12"/>
    <col width="25.56" customWidth="1" style="85" min="13" max="13"/>
    <col width="12.14" customWidth="1" style="85" min="14" max="14"/>
    <col width="0.13" customWidth="1" style="85" min="15" max="15"/>
    <col width="28.41" customWidth="1" style="85" min="16" max="16"/>
    <col width="3.28" customWidth="1" style="86" min="17" max="17"/>
    <col width="13.56" customWidth="1" style="86" min="18" max="18"/>
    <col width="7.7" customWidth="1" style="86" min="19" max="19"/>
    <col width="6.56" customWidth="1" style="86" min="20" max="20"/>
    <col width="5.85" customWidth="1" style="86" min="21" max="21"/>
    <col width="9.140000000000001" customWidth="1" style="86" min="22" max="257"/>
  </cols>
  <sheetData>
    <row r="1" ht="49.5" customHeight="1" s="48">
      <c r="A1" s="87" t="inlineStr">
        <is>
          <t>K</t>
        </is>
      </c>
      <c r="B1" s="88" t="inlineStr">
        <is>
          <t>pobyt od</t>
        </is>
      </c>
      <c r="C1" s="88" t="inlineStr">
        <is>
          <t>pobyt do</t>
        </is>
      </c>
      <c r="D1" s="89" t="inlineStr">
        <is>
          <t>příjmení</t>
        </is>
      </c>
      <c r="E1" s="89" t="inlineStr">
        <is>
          <t>jméno</t>
        </is>
      </c>
      <c r="F1" s="89" t="inlineStr">
        <is>
          <t>rodné jméno</t>
        </is>
      </c>
      <c r="G1" s="88" t="inlineStr">
        <is>
          <t>datum narození</t>
        </is>
      </c>
      <c r="H1" s="89" t="inlineStr">
        <is>
          <t>místo narození</t>
        </is>
      </c>
      <c r="I1" s="89" t="inlineStr">
        <is>
          <t>stát narození</t>
        </is>
      </c>
      <c r="J1" s="89" t="inlineStr">
        <is>
          <t>státní občanství</t>
        </is>
      </c>
      <c r="K1" s="89" t="inlineStr">
        <is>
          <t>,</t>
        </is>
      </c>
      <c r="L1" s="89" t="inlineStr">
        <is>
          <t>číslo cestovního dokladu</t>
        </is>
      </c>
      <c r="M1" s="89" t="inlineStr">
        <is>
          <t>číslo víza</t>
        </is>
      </c>
      <c r="N1" s="90" t="n"/>
      <c r="O1" s="89" t="inlineStr">
        <is>
          <t>SPZ</t>
        </is>
      </c>
      <c r="P1" s="89" t="inlineStr">
        <is>
          <t>poznámka</t>
        </is>
      </c>
      <c r="Q1" s="91" t="n"/>
      <c r="R1" s="91" t="n"/>
      <c r="S1" s="91" t="n"/>
      <c r="T1" s="91" t="n"/>
      <c r="U1" s="91" t="n"/>
      <c r="V1" s="91" t="n"/>
      <c r="W1" s="91" t="n"/>
      <c r="X1" s="91" t="n"/>
      <c r="Y1" s="91" t="n"/>
      <c r="Z1" s="91" t="n"/>
      <c r="AA1" s="91" t="n"/>
      <c r="AB1" s="91" t="n"/>
      <c r="AC1" s="91" t="n"/>
      <c r="AD1" s="91" t="n"/>
      <c r="AE1" s="91" t="n"/>
      <c r="AF1" s="91" t="n"/>
      <c r="AG1" s="91" t="n"/>
      <c r="AH1" s="91" t="n"/>
      <c r="AI1" s="91" t="n"/>
      <c r="AJ1" s="91" t="n"/>
      <c r="AK1" s="91" t="n"/>
      <c r="AL1" s="91" t="n"/>
      <c r="AM1" s="91" t="n"/>
      <c r="AN1" s="91" t="n"/>
      <c r="AO1" s="91" t="n"/>
      <c r="AP1" s="91" t="n"/>
      <c r="AQ1" s="91" t="n"/>
      <c r="AR1" s="91" t="n"/>
      <c r="AS1" s="91" t="n"/>
      <c r="AT1" s="91" t="n"/>
      <c r="AU1" s="91" t="n"/>
      <c r="AV1" s="91" t="n"/>
      <c r="AW1" s="91" t="n"/>
      <c r="AX1" s="91" t="n"/>
      <c r="AY1" s="91" t="n"/>
      <c r="AZ1" s="91" t="n"/>
      <c r="BA1" s="91" t="n"/>
      <c r="BB1" s="91" t="n"/>
      <c r="BC1" s="91" t="n"/>
      <c r="BD1" s="91" t="n"/>
      <c r="BE1" s="91" t="n"/>
      <c r="BF1" s="91" t="n"/>
      <c r="BG1" s="91" t="n"/>
      <c r="BH1" s="91" t="n"/>
      <c r="BI1" s="91" t="n"/>
      <c r="BJ1" s="91" t="n"/>
      <c r="BK1" s="91" t="n"/>
      <c r="BL1" s="91" t="n"/>
      <c r="BM1" s="91" t="n"/>
      <c r="BN1" s="91" t="n"/>
      <c r="BO1" s="91" t="n"/>
      <c r="BP1" s="91" t="n"/>
      <c r="BQ1" s="91" t="n"/>
      <c r="BR1" s="91" t="n"/>
      <c r="BS1" s="91" t="n"/>
      <c r="BT1" s="91" t="n"/>
      <c r="BU1" s="91" t="n"/>
      <c r="BV1" s="91" t="n"/>
      <c r="BW1" s="91" t="n"/>
      <c r="BX1" s="91" t="n"/>
      <c r="BY1" s="91" t="n"/>
      <c r="BZ1" s="91" t="n"/>
      <c r="CA1" s="91" t="n"/>
      <c r="CB1" s="91" t="n"/>
      <c r="CC1" s="91" t="n"/>
      <c r="CD1" s="91" t="n"/>
      <c r="CE1" s="91" t="n"/>
      <c r="CF1" s="91" t="n"/>
      <c r="CG1" s="91" t="n"/>
      <c r="CH1" s="91" t="n"/>
      <c r="CI1" s="91" t="n"/>
      <c r="CJ1" s="91" t="n"/>
      <c r="CK1" s="91" t="n"/>
      <c r="CL1" s="91" t="n"/>
      <c r="CM1" s="91" t="n"/>
      <c r="CN1" s="91" t="n"/>
      <c r="CO1" s="91" t="n"/>
      <c r="CP1" s="91" t="n"/>
      <c r="CQ1" s="91" t="n"/>
      <c r="CR1" s="91" t="n"/>
      <c r="CS1" s="91" t="n"/>
      <c r="CT1" s="91" t="n"/>
      <c r="CU1" s="91" t="n"/>
      <c r="CV1" s="91" t="n"/>
      <c r="CW1" s="91" t="n"/>
      <c r="CX1" s="91" t="n"/>
      <c r="CY1" s="91" t="n"/>
      <c r="CZ1" s="91" t="n"/>
      <c r="DA1" s="91" t="n"/>
      <c r="DB1" s="91" t="n"/>
      <c r="DC1" s="91" t="n"/>
      <c r="DD1" s="91" t="n"/>
      <c r="DE1" s="91" t="n"/>
      <c r="DF1" s="91" t="n"/>
      <c r="DG1" s="91" t="n"/>
      <c r="DH1" s="91" t="n"/>
      <c r="DI1" s="91" t="n"/>
      <c r="DJ1" s="91" t="n"/>
      <c r="DK1" s="91" t="n"/>
      <c r="DL1" s="91" t="n"/>
      <c r="DM1" s="91" t="n"/>
      <c r="DN1" s="91" t="n"/>
      <c r="DO1" s="91" t="n"/>
      <c r="DP1" s="91" t="n"/>
      <c r="DQ1" s="91" t="n"/>
      <c r="DR1" s="91" t="n"/>
      <c r="DS1" s="91" t="n"/>
      <c r="DT1" s="91" t="n"/>
      <c r="DU1" s="91" t="n"/>
      <c r="DV1" s="91" t="n"/>
      <c r="DW1" s="91" t="n"/>
      <c r="DX1" s="91" t="n"/>
      <c r="DY1" s="91" t="n"/>
      <c r="DZ1" s="91" t="n"/>
      <c r="EA1" s="91" t="n"/>
      <c r="EB1" s="91" t="n"/>
      <c r="EC1" s="91" t="n"/>
      <c r="ED1" s="91" t="n"/>
      <c r="EE1" s="91" t="n"/>
      <c r="EF1" s="91" t="n"/>
      <c r="EG1" s="91" t="n"/>
      <c r="EH1" s="91" t="n"/>
      <c r="EI1" s="91" t="n"/>
      <c r="EJ1" s="91" t="n"/>
      <c r="EK1" s="91" t="n"/>
      <c r="EL1" s="91" t="n"/>
      <c r="EM1" s="91" t="n"/>
      <c r="EN1" s="91" t="n"/>
      <c r="EO1" s="91" t="n"/>
      <c r="EP1" s="91" t="n"/>
      <c r="EQ1" s="91" t="n"/>
      <c r="ER1" s="91" t="n"/>
      <c r="ES1" s="91" t="n"/>
      <c r="ET1" s="91" t="n"/>
      <c r="EU1" s="91" t="n"/>
      <c r="EV1" s="91" t="n"/>
      <c r="EW1" s="91" t="n"/>
      <c r="EX1" s="91" t="n"/>
      <c r="EY1" s="91" t="n"/>
      <c r="EZ1" s="91" t="n"/>
      <c r="FA1" s="91" t="n"/>
      <c r="FB1" s="91" t="n"/>
      <c r="FC1" s="91" t="n"/>
      <c r="FD1" s="91" t="n"/>
      <c r="FE1" s="91" t="n"/>
      <c r="FF1" s="91" t="n"/>
      <c r="FG1" s="91" t="n"/>
      <c r="FH1" s="91" t="n"/>
      <c r="FI1" s="91" t="n"/>
      <c r="FJ1" s="91" t="n"/>
      <c r="FK1" s="91" t="n"/>
      <c r="FL1" s="91" t="n"/>
      <c r="FM1" s="91" t="n"/>
      <c r="FN1" s="91" t="n"/>
      <c r="FO1" s="91" t="n"/>
      <c r="FP1" s="91" t="n"/>
      <c r="FQ1" s="91" t="n"/>
      <c r="FR1" s="91" t="n"/>
      <c r="FS1" s="91" t="n"/>
      <c r="FT1" s="91" t="n"/>
      <c r="FU1" s="91" t="n"/>
      <c r="FV1" s="91" t="n"/>
      <c r="FW1" s="91" t="n"/>
      <c r="FX1" s="91" t="n"/>
      <c r="FY1" s="91" t="n"/>
      <c r="FZ1" s="91" t="n"/>
      <c r="GA1" s="91" t="n"/>
      <c r="GB1" s="91" t="n"/>
      <c r="GC1" s="91" t="n"/>
      <c r="GD1" s="91" t="n"/>
      <c r="GE1" s="91" t="n"/>
      <c r="GF1" s="91" t="n"/>
      <c r="GG1" s="91" t="n"/>
      <c r="GH1" s="91" t="n"/>
      <c r="GI1" s="91" t="n"/>
      <c r="GJ1" s="91" t="n"/>
      <c r="GK1" s="91" t="n"/>
      <c r="GL1" s="91" t="n"/>
      <c r="GM1" s="91" t="n"/>
      <c r="GN1" s="91" t="n"/>
      <c r="GO1" s="91" t="n"/>
      <c r="GP1" s="91" t="n"/>
      <c r="GQ1" s="91" t="n"/>
      <c r="GR1" s="91" t="n"/>
      <c r="GS1" s="91" t="n"/>
      <c r="GT1" s="91" t="n"/>
      <c r="GU1" s="91" t="n"/>
      <c r="GV1" s="91" t="n"/>
      <c r="GW1" s="91" t="n"/>
      <c r="GX1" s="91" t="n"/>
      <c r="GY1" s="91" t="n"/>
      <c r="GZ1" s="91" t="n"/>
      <c r="HA1" s="91" t="n"/>
      <c r="HB1" s="91" t="n"/>
      <c r="HC1" s="91" t="n"/>
      <c r="HD1" s="91" t="n"/>
      <c r="HE1" s="91" t="n"/>
      <c r="HF1" s="91" t="n"/>
      <c r="HG1" s="91" t="n"/>
      <c r="HH1" s="91" t="n"/>
      <c r="HI1" s="91" t="n"/>
      <c r="HJ1" s="91" t="n"/>
      <c r="HK1" s="91" t="n"/>
      <c r="HL1" s="91" t="n"/>
      <c r="HM1" s="91" t="n"/>
      <c r="HN1" s="91" t="n"/>
      <c r="HO1" s="91" t="n"/>
      <c r="HP1" s="91" t="n"/>
      <c r="HQ1" s="91" t="n"/>
      <c r="HR1" s="91" t="n"/>
      <c r="HS1" s="91" t="n"/>
      <c r="HT1" s="91" t="n"/>
      <c r="HU1" s="91" t="n"/>
      <c r="HV1" s="91" t="n"/>
      <c r="HW1" s="91" t="n"/>
      <c r="HX1" s="91" t="n"/>
      <c r="HY1" s="91" t="n"/>
      <c r="HZ1" s="91" t="n"/>
      <c r="IA1" s="91" t="n"/>
      <c r="IB1" s="91" t="n"/>
      <c r="IC1" s="91" t="n"/>
      <c r="ID1" s="91" t="n"/>
      <c r="IE1" s="91" t="n"/>
      <c r="IF1" s="91" t="n"/>
      <c r="IG1" s="91" t="n"/>
      <c r="IH1" s="91" t="n"/>
      <c r="II1" s="91" t="n"/>
      <c r="IJ1" s="91" t="n"/>
      <c r="IK1" s="91" t="n"/>
      <c r="IL1" s="91" t="n"/>
      <c r="IM1" s="91" t="n"/>
      <c r="IN1" s="91" t="n"/>
      <c r="IO1" s="91" t="n"/>
      <c r="IP1" s="91" t="n"/>
      <c r="IQ1" s="91" t="n"/>
      <c r="IR1" s="91" t="n"/>
      <c r="IS1" s="91" t="n"/>
      <c r="IT1" s="91" t="n"/>
      <c r="IU1" s="91" t="n"/>
      <c r="IV1" s="91" t="n"/>
      <c r="IW1" s="91" t="n"/>
    </row>
    <row r="2" ht="12.75" customHeight="1" s="48">
      <c r="A2" s="92" t="n"/>
      <c r="B2" s="84" t="inlineStr">
        <is>
          <t>20.06.2025</t>
        </is>
      </c>
      <c r="C2" s="84" t="inlineStr">
        <is>
          <t>21.06.2025</t>
        </is>
      </c>
      <c r="D2" s="85" t="inlineStr">
        <is>
          <t>Shved</t>
        </is>
      </c>
      <c r="E2" s="85" t="inlineStr">
        <is>
          <t>Yuriy</t>
        </is>
      </c>
      <c r="F2" s="92" t="n"/>
      <c r="G2" s="84" t="inlineStr">
        <is>
          <t>02.01.1964</t>
        </is>
      </c>
      <c r="H2" s="92" t="n"/>
      <c r="I2" s="92" t="n"/>
      <c r="J2" s="85" t="inlineStr">
        <is>
          <t>UKR</t>
        </is>
      </c>
      <c r="K2" s="85" t="inlineStr">
        <is>
          <t>CZ, U Tescomy 206, 76005, Zlin</t>
        </is>
      </c>
      <c r="L2" s="85" t="inlineStr">
        <is>
          <t>PU020490</t>
        </is>
      </c>
      <c r="M2" s="92" t="inlineStr"/>
      <c r="N2" s="92" t="n">
        <v>10</v>
      </c>
      <c r="O2" s="92" t="n"/>
      <c r="P2" s="92" t="n"/>
    </row>
    <row r="3" ht="12.75" customHeight="1" s="48">
      <c r="A3" s="92" t="n"/>
      <c r="B3" s="84" t="inlineStr">
        <is>
          <t>20.06.2025</t>
        </is>
      </c>
      <c r="C3" s="84" t="inlineStr">
        <is>
          <t>21.06.2025</t>
        </is>
      </c>
      <c r="D3" s="85" t="inlineStr">
        <is>
          <t>Vavro</t>
        </is>
      </c>
      <c r="E3" s="85" t="inlineStr">
        <is>
          <t>Dusan</t>
        </is>
      </c>
      <c r="F3" s="92" t="n"/>
      <c r="G3" s="84" t="inlineStr">
        <is>
          <t>02.10.1972</t>
        </is>
      </c>
      <c r="H3" s="92" t="n"/>
      <c r="I3" s="92" t="n"/>
      <c r="J3" s="85" t="inlineStr">
        <is>
          <t>CHE</t>
        </is>
      </c>
      <c r="K3" s="85" t="inlineStr">
        <is>
          <t>CZ, 16100, Brno</t>
        </is>
      </c>
      <c r="L3" s="85" t="inlineStr">
        <is>
          <t>HU617337</t>
        </is>
      </c>
      <c r="M3" s="92" t="inlineStr"/>
      <c r="N3" s="92" t="n">
        <v>10</v>
      </c>
      <c r="O3" s="92" t="n"/>
      <c r="P3" s="92" t="n"/>
    </row>
    <row r="4" ht="12.75" customHeight="1" s="48">
      <c r="A4" s="92" t="n"/>
      <c r="B4" s="84" t="inlineStr">
        <is>
          <t>20.06.2025</t>
        </is>
      </c>
      <c r="C4" s="84" t="inlineStr">
        <is>
          <t>21.06.2025</t>
        </is>
      </c>
      <c r="D4" s="85" t="inlineStr">
        <is>
          <t>Szatkiewicz</t>
        </is>
      </c>
      <c r="E4" s="85" t="inlineStr">
        <is>
          <t>Honorata</t>
        </is>
      </c>
      <c r="F4" s="92" t="n"/>
      <c r="G4" s="84" t="inlineStr">
        <is>
          <t>19.05.1990</t>
        </is>
      </c>
      <c r="H4" s="92" t="n"/>
      <c r="I4" s="92" t="n"/>
      <c r="J4" s="85" t="inlineStr">
        <is>
          <t>POL</t>
        </is>
      </c>
      <c r="K4" s="85" t="inlineStr">
        <is>
          <t>PL, Korkowa 135 137 M.166, 04-549, Warszawa</t>
        </is>
      </c>
      <c r="L4" s="85" t="inlineStr">
        <is>
          <t>CCU 45424</t>
        </is>
      </c>
      <c r="M4" s="92" t="inlineStr"/>
      <c r="N4" s="92" t="n">
        <v>10</v>
      </c>
      <c r="O4" s="92" t="n"/>
      <c r="P4" s="92" t="n"/>
    </row>
    <row r="5" ht="12.75" customHeight="1" s="48">
      <c r="A5" s="92" t="n"/>
      <c r="B5" s="84" t="inlineStr">
        <is>
          <t>20.06.2025</t>
        </is>
      </c>
      <c r="C5" s="84" t="inlineStr">
        <is>
          <t>27.06.2025</t>
        </is>
      </c>
      <c r="D5" s="85" t="inlineStr">
        <is>
          <t>Leclaire</t>
        </is>
      </c>
      <c r="E5" s="85" t="inlineStr">
        <is>
          <t>Leslie</t>
        </is>
      </c>
      <c r="F5" s="92" t="n"/>
      <c r="G5" s="84" t="inlineStr">
        <is>
          <t>05.01.1984</t>
        </is>
      </c>
      <c r="H5" s="92" t="n"/>
      <c r="I5" s="92" t="n"/>
      <c r="J5" s="85" t="inlineStr">
        <is>
          <t>USA</t>
        </is>
      </c>
      <c r="K5" s="85" t="inlineStr">
        <is>
          <t>US, 635 Lilycrest Drive, 37066, Gallatin</t>
        </is>
      </c>
      <c r="L5" s="85" t="inlineStr">
        <is>
          <t>A63540084</t>
        </is>
      </c>
      <c r="M5" s="92" t="inlineStr"/>
      <c r="N5" s="92" t="n">
        <v>10</v>
      </c>
      <c r="O5" s="92" t="n"/>
      <c r="P5" s="92" t="n"/>
    </row>
    <row r="6" ht="12.75" customHeight="1" s="48">
      <c r="A6" s="92" t="n"/>
      <c r="B6" s="84" t="inlineStr">
        <is>
          <t>20.06.2025</t>
        </is>
      </c>
      <c r="C6" s="84" t="inlineStr">
        <is>
          <t>26.06.2025</t>
        </is>
      </c>
      <c r="D6" s="85" t="inlineStr">
        <is>
          <t>Halama</t>
        </is>
      </c>
      <c r="E6" s="85" t="inlineStr">
        <is>
          <t>Anna</t>
        </is>
      </c>
      <c r="F6" s="92" t="n"/>
      <c r="G6" s="84" t="inlineStr">
        <is>
          <t>19.09.1984</t>
        </is>
      </c>
      <c r="H6" s="92" t="n"/>
      <c r="I6" s="92" t="n"/>
      <c r="J6" s="85" t="inlineStr">
        <is>
          <t>POL</t>
        </is>
      </c>
      <c r="K6" s="85" t="inlineStr">
        <is>
          <t>QA, Education City, 24144, Doha</t>
        </is>
      </c>
      <c r="L6" s="85" t="inlineStr">
        <is>
          <t>ET9887977</t>
        </is>
      </c>
      <c r="M6" s="92" t="inlineStr"/>
      <c r="N6" s="92" t="n">
        <v>10</v>
      </c>
      <c r="O6" s="92" t="n"/>
      <c r="P6" s="92" t="n"/>
    </row>
    <row r="7" ht="12.75" customHeight="1" s="48">
      <c r="A7" s="92" t="n"/>
      <c r="B7" s="84" t="inlineStr">
        <is>
          <t>20.06.2025</t>
        </is>
      </c>
      <c r="C7" s="84" t="inlineStr">
        <is>
          <t>26.06.2025</t>
        </is>
      </c>
      <c r="D7" s="85" t="inlineStr">
        <is>
          <t>Goodacre</t>
        </is>
      </c>
      <c r="E7" s="85" t="inlineStr">
        <is>
          <t>Royston</t>
        </is>
      </c>
      <c r="F7" s="92" t="n"/>
      <c r="G7" s="84" t="inlineStr">
        <is>
          <t>17.07.1967</t>
        </is>
      </c>
      <c r="H7" s="92" t="n"/>
      <c r="I7" s="92" t="n"/>
      <c r="J7" s="85" t="inlineStr">
        <is>
          <t>GBR</t>
        </is>
      </c>
      <c r="K7" s="92" t="inlineStr">
        <is>
          <t>GB, Manchester</t>
        </is>
      </c>
      <c r="L7" s="85" t="inlineStr">
        <is>
          <t>562404402</t>
        </is>
      </c>
      <c r="M7" s="92" t="inlineStr"/>
      <c r="N7" s="92" t="n">
        <v>10</v>
      </c>
      <c r="O7" s="92" t="n"/>
      <c r="P7" s="92" t="n"/>
    </row>
    <row r="8" ht="12.75" customHeight="1" s="48">
      <c r="A8" s="92" t="n"/>
      <c r="B8" s="84" t="inlineStr">
        <is>
          <t>20.06.2025</t>
        </is>
      </c>
      <c r="C8" s="84" t="inlineStr">
        <is>
          <t>21.06.2025</t>
        </is>
      </c>
      <c r="D8" s="85" t="inlineStr">
        <is>
          <t>De Ridder</t>
        </is>
      </c>
      <c r="E8" s="85" t="inlineStr">
        <is>
          <t>Rens</t>
        </is>
      </c>
      <c r="F8" s="92" t="n"/>
      <c r="G8" s="84" t="inlineStr">
        <is>
          <t>22.12.2001</t>
        </is>
      </c>
      <c r="H8" s="92" t="n"/>
      <c r="I8" s="92" t="n"/>
      <c r="J8" s="85" t="inlineStr">
        <is>
          <t>NLD</t>
        </is>
      </c>
      <c r="K8" s="85" t="inlineStr">
        <is>
          <t>NL, Markenhaven, 3826AC, Amersfoort</t>
        </is>
      </c>
      <c r="L8" s="85" t="inlineStr">
        <is>
          <t>NN99647L6</t>
        </is>
      </c>
      <c r="M8" s="92" t="inlineStr"/>
      <c r="N8" s="92" t="n">
        <v>10</v>
      </c>
      <c r="O8" s="92" t="n"/>
      <c r="P8" s="92" t="n"/>
    </row>
    <row r="9" ht="12.75" customHeight="1" s="48">
      <c r="A9" s="92" t="n"/>
      <c r="B9" s="84" t="inlineStr">
        <is>
          <t>20.06.2025</t>
        </is>
      </c>
      <c r="C9" s="84" t="inlineStr">
        <is>
          <t>21.06.2025</t>
        </is>
      </c>
      <c r="D9" s="85" t="inlineStr">
        <is>
          <t>Zhdanovych</t>
        </is>
      </c>
      <c r="E9" s="85" t="inlineStr">
        <is>
          <t>Yuliya</t>
        </is>
      </c>
      <c r="F9" s="92" t="n"/>
      <c r="G9" s="84" t="inlineStr">
        <is>
          <t>25.11.1983</t>
        </is>
      </c>
      <c r="H9" s="92" t="n"/>
      <c r="I9" s="92" t="n"/>
      <c r="J9" s="85" t="inlineStr">
        <is>
          <t>USA</t>
        </is>
      </c>
      <c r="K9" s="85" t="inlineStr">
        <is>
          <t>US, 1703 Whitehall Dr Apt 201, 33324-6908, Davie</t>
        </is>
      </c>
      <c r="L9" s="85" t="inlineStr">
        <is>
          <t>649343142</t>
        </is>
      </c>
      <c r="M9" s="92" t="inlineStr"/>
      <c r="N9" s="92" t="n">
        <v>10</v>
      </c>
      <c r="O9" s="92" t="n"/>
      <c r="P9" s="92" t="n"/>
    </row>
    <row r="10" ht="12.75" customHeight="1" s="48">
      <c r="A10" s="92" t="n"/>
      <c r="B10" s="84" t="inlineStr">
        <is>
          <t>20.06.2025</t>
        </is>
      </c>
      <c r="C10" s="84" t="inlineStr">
        <is>
          <t>25.06.2025</t>
        </is>
      </c>
      <c r="D10" s="85" t="inlineStr">
        <is>
          <t>Goveya</t>
        </is>
      </c>
      <c r="E10" s="85" t="inlineStr">
        <is>
          <t>Werner</t>
        </is>
      </c>
      <c r="F10" s="92" t="n"/>
      <c r="G10" s="84" t="inlineStr">
        <is>
          <t>27.01.1971</t>
        </is>
      </c>
      <c r="H10" s="92" t="n"/>
      <c r="I10" s="92" t="n"/>
      <c r="J10" s="85" t="inlineStr">
        <is>
          <t>USA</t>
        </is>
      </c>
      <c r="K10" s="85" t="inlineStr">
        <is>
          <t>US, Po Box 568, 94002-0568, Belmont</t>
        </is>
      </c>
      <c r="L10" s="85" t="inlineStr">
        <is>
          <t>596744820</t>
        </is>
      </c>
      <c r="M10" s="92" t="inlineStr"/>
      <c r="N10" s="92" t="n">
        <v>10</v>
      </c>
      <c r="O10" s="92" t="n"/>
      <c r="P10" s="92" t="n"/>
    </row>
    <row r="11" ht="12.75" customHeight="1" s="48">
      <c r="A11" s="92" t="n"/>
      <c r="B11" s="84" t="inlineStr">
        <is>
          <t>20.06.2025</t>
        </is>
      </c>
      <c r="C11" s="84" t="inlineStr">
        <is>
          <t>26.06.2025</t>
        </is>
      </c>
      <c r="D11" s="85" t="inlineStr">
        <is>
          <t>Baker</t>
        </is>
      </c>
      <c r="E11" s="85" t="inlineStr">
        <is>
          <t>Jonathan</t>
        </is>
      </c>
      <c r="F11" s="92" t="n"/>
      <c r="G11" s="84" t="inlineStr">
        <is>
          <t>27.01.1979</t>
        </is>
      </c>
      <c r="H11" s="92" t="n"/>
      <c r="I11" s="92" t="n"/>
      <c r="J11" s="85" t="inlineStr">
        <is>
          <t>USA</t>
        </is>
      </c>
      <c r="K11" s="85" t="inlineStr">
        <is>
          <t>US, 384 Colonial Ridge Dr, 27312, Pittsboro</t>
        </is>
      </c>
      <c r="L11" s="85" t="inlineStr">
        <is>
          <t>596203512</t>
        </is>
      </c>
      <c r="M11" s="92" t="inlineStr"/>
      <c r="N11" s="92" t="n">
        <v>10</v>
      </c>
      <c r="O11" s="92" t="n"/>
      <c r="P11" s="92" t="n"/>
    </row>
    <row r="12" ht="12.75" customHeight="1" s="48">
      <c r="A12" s="92" t="n"/>
      <c r="B12" s="84" t="inlineStr">
        <is>
          <t>20.06.2025</t>
        </is>
      </c>
      <c r="C12" s="84" t="inlineStr">
        <is>
          <t>21.06.2025</t>
        </is>
      </c>
      <c r="D12" s="85" t="inlineStr">
        <is>
          <t>Capellan</t>
        </is>
      </c>
      <c r="E12" s="85" t="inlineStr">
        <is>
          <t>Ramon</t>
        </is>
      </c>
      <c r="F12" s="92" t="n"/>
      <c r="G12" s="84" t="inlineStr">
        <is>
          <t>13.12.1995</t>
        </is>
      </c>
      <c r="H12" s="92" t="n"/>
      <c r="I12" s="92" t="n"/>
      <c r="J12" s="85" t="inlineStr">
        <is>
          <t>USA</t>
        </is>
      </c>
      <c r="K12" s="85" t="inlineStr">
        <is>
          <t>US, 67 Rosewood Dr, 07735, Keyport</t>
        </is>
      </c>
      <c r="L12" s="85" t="inlineStr">
        <is>
          <t>543075536</t>
        </is>
      </c>
      <c r="M12" s="92" t="inlineStr"/>
      <c r="N12" s="92" t="n">
        <v>10</v>
      </c>
      <c r="O12" s="92" t="n"/>
      <c r="P12" s="92" t="n"/>
    </row>
    <row r="13" ht="12.75" customHeight="1" s="48">
      <c r="A13" s="92" t="n"/>
      <c r="B13" s="84" t="inlineStr">
        <is>
          <t>20.06.2025</t>
        </is>
      </c>
      <c r="C13" s="84" t="inlineStr">
        <is>
          <t>23.06.2025</t>
        </is>
      </c>
      <c r="D13" s="85" t="inlineStr">
        <is>
          <t>Latifi</t>
        </is>
      </c>
      <c r="E13" s="85" t="inlineStr">
        <is>
          <t>Ali</t>
        </is>
      </c>
      <c r="F13" s="92" t="n"/>
      <c r="G13" s="84" t="inlineStr">
        <is>
          <t>03.12.1982</t>
        </is>
      </c>
      <c r="H13" s="92" t="n"/>
      <c r="I13" s="92" t="n"/>
      <c r="J13" s="85" t="inlineStr">
        <is>
          <t>USA</t>
        </is>
      </c>
      <c r="K13" s="85" t="inlineStr">
        <is>
          <t>US, 9305 Elberon Way, 95758, Elk Grove</t>
        </is>
      </c>
      <c r="L13" s="85" t="inlineStr">
        <is>
          <t>548593623</t>
        </is>
      </c>
      <c r="M13" s="92" t="inlineStr"/>
      <c r="N13" s="92" t="n">
        <v>10</v>
      </c>
      <c r="O13" s="92" t="n"/>
      <c r="P13" s="92" t="n"/>
    </row>
    <row r="14" ht="12.75" customHeight="1" s="48">
      <c r="A14" s="92" t="n"/>
      <c r="B14" s="84" t="inlineStr">
        <is>
          <t>20.06.2025</t>
        </is>
      </c>
      <c r="C14" s="84" t="inlineStr">
        <is>
          <t>27.06.2025</t>
        </is>
      </c>
      <c r="D14" s="85" t="inlineStr">
        <is>
          <t>Bornhorst</t>
        </is>
      </c>
      <c r="E14" s="85" t="inlineStr">
        <is>
          <t>Amy</t>
        </is>
      </c>
      <c r="F14" s="92" t="n"/>
      <c r="G14" s="84" t="inlineStr">
        <is>
          <t>21.04.1973</t>
        </is>
      </c>
      <c r="H14" s="92" t="n"/>
      <c r="I14" s="92" t="n"/>
      <c r="J14" s="85" t="inlineStr">
        <is>
          <t>DEU</t>
        </is>
      </c>
      <c r="K14" s="85" t="inlineStr">
        <is>
          <t>US, 1712 Pomme De Terre Rd, 65616-9495, Branson</t>
        </is>
      </c>
      <c r="L14" s="85" t="inlineStr">
        <is>
          <t>C4FZ81336</t>
        </is>
      </c>
      <c r="M14" s="92" t="inlineStr"/>
      <c r="N14" s="92" t="n">
        <v>10</v>
      </c>
      <c r="O14" s="92" t="n"/>
      <c r="P14" s="92" t="n"/>
    </row>
    <row r="15" ht="12.75" customHeight="1" s="48">
      <c r="A15" s="92" t="n"/>
      <c r="B15" s="84" t="inlineStr">
        <is>
          <t>20.06.2025</t>
        </is>
      </c>
      <c r="C15" s="84" t="inlineStr">
        <is>
          <t>26.06.2025</t>
        </is>
      </c>
      <c r="D15" s="85" t="inlineStr">
        <is>
          <t>Fahy</t>
        </is>
      </c>
      <c r="E15" s="85" t="inlineStr">
        <is>
          <t>Eoin</t>
        </is>
      </c>
      <c r="F15" s="92" t="n"/>
      <c r="G15" s="84" t="inlineStr">
        <is>
          <t>20.06.1959</t>
        </is>
      </c>
      <c r="H15" s="92" t="n"/>
      <c r="I15" s="92" t="n"/>
      <c r="J15" s="85" t="inlineStr">
        <is>
          <t>USA</t>
        </is>
      </c>
      <c r="K15" s="85" t="inlineStr">
        <is>
          <t>US, 3478 Camino Cereza, 92009, Carlsbad</t>
        </is>
      </c>
      <c r="L15" s="85" t="inlineStr">
        <is>
          <t>661629548</t>
        </is>
      </c>
      <c r="M15" s="92" t="inlineStr"/>
      <c r="N15" s="92" t="n">
        <v>10</v>
      </c>
      <c r="O15" s="92" t="n"/>
      <c r="P15" s="92" t="n"/>
    </row>
    <row r="16" ht="12.75" customHeight="1" s="48">
      <c r="A16" s="92" t="n"/>
      <c r="B16" s="84" t="inlineStr">
        <is>
          <t>20.06.2025</t>
        </is>
      </c>
      <c r="C16" s="84" t="inlineStr">
        <is>
          <t>26.06.2025</t>
        </is>
      </c>
      <c r="D16" s="85" t="inlineStr">
        <is>
          <t>Eberlin</t>
        </is>
      </c>
      <c r="E16" s="85" t="inlineStr">
        <is>
          <t>Livia</t>
        </is>
      </c>
      <c r="F16" s="92" t="n"/>
      <c r="G16" s="84" t="inlineStr">
        <is>
          <t>19.02.1986</t>
        </is>
      </c>
      <c r="H16" s="92" t="n"/>
      <c r="I16" s="92" t="n"/>
      <c r="J16" s="85" t="inlineStr">
        <is>
          <t>USA</t>
        </is>
      </c>
      <c r="K16" s="85" t="inlineStr">
        <is>
          <t>US, 635 Lilycrest Drive, 37066, Gallatin</t>
        </is>
      </c>
      <c r="L16" s="85" t="inlineStr">
        <is>
          <t>651695617</t>
        </is>
      </c>
      <c r="M16" s="92" t="inlineStr"/>
      <c r="N16" s="92" t="n">
        <v>10</v>
      </c>
      <c r="O16" s="92" t="n"/>
      <c r="P16" s="92" t="n"/>
    </row>
    <row r="17" ht="12.75" customHeight="1" s="48">
      <c r="A17" s="92" t="n"/>
      <c r="B17" s="84" t="inlineStr">
        <is>
          <t>20.06.2025</t>
        </is>
      </c>
      <c r="C17" s="84" t="inlineStr">
        <is>
          <t>26.06.2025</t>
        </is>
      </c>
      <c r="D17" s="85" t="inlineStr">
        <is>
          <t>Baker</t>
        </is>
      </c>
      <c r="E17" s="85" t="inlineStr">
        <is>
          <t>Erin</t>
        </is>
      </c>
      <c r="F17" s="92" t="n"/>
      <c r="G17" s="84" t="inlineStr">
        <is>
          <t>25.10.1978</t>
        </is>
      </c>
      <c r="H17" s="92" t="n"/>
      <c r="I17" s="92" t="n"/>
      <c r="J17" s="85" t="inlineStr">
        <is>
          <t>USA</t>
        </is>
      </c>
      <c r="K17" s="85" t="inlineStr">
        <is>
          <t>US, 635 Lilycrest Drive, 37066, Gallatin</t>
        </is>
      </c>
      <c r="L17" s="85" t="inlineStr">
        <is>
          <t>A61428529</t>
        </is>
      </c>
      <c r="M17" s="92" t="inlineStr"/>
      <c r="N17" s="92" t="n">
        <v>10</v>
      </c>
      <c r="O17" s="92" t="n"/>
      <c r="P17" s="92" t="n"/>
    </row>
    <row r="18" ht="12.75" customHeight="1" s="48">
      <c r="A18" s="92" t="n"/>
      <c r="B18" s="84" t="inlineStr">
        <is>
          <t>20.06.2025</t>
        </is>
      </c>
      <c r="C18" s="84" t="inlineStr">
        <is>
          <t>26.06.2025</t>
        </is>
      </c>
      <c r="D18" s="85" t="inlineStr">
        <is>
          <t>Franco Maggi Tavares</t>
        </is>
      </c>
      <c r="E18" s="85" t="inlineStr">
        <is>
          <t>Marina</t>
        </is>
      </c>
      <c r="F18" s="92" t="n"/>
      <c r="G18" s="84" t="inlineStr">
        <is>
          <t>10.10.1959</t>
        </is>
      </c>
      <c r="H18" s="92" t="n"/>
      <c r="I18" s="92" t="n"/>
      <c r="J18" s="85" t="inlineStr">
        <is>
          <t>BRA</t>
        </is>
      </c>
      <c r="K18" s="85" t="inlineStr">
        <is>
          <t>BR, Al.Das Caviunas 337, 06519-370, Santana-De-Parnaiba</t>
        </is>
      </c>
      <c r="L18" s="85" t="inlineStr">
        <is>
          <t>FV925160</t>
        </is>
      </c>
      <c r="M18" s="92" t="inlineStr"/>
      <c r="N18" s="85" t="n">
        <v>10</v>
      </c>
      <c r="O18" s="92" t="n"/>
      <c r="P18" s="92" t="n"/>
    </row>
    <row r="19" ht="12.75" customHeight="1" s="48">
      <c r="A19" s="92" t="n"/>
      <c r="B19" s="84" t="inlineStr">
        <is>
          <t>20.06.2025</t>
        </is>
      </c>
      <c r="C19" s="84" t="inlineStr">
        <is>
          <t>26.06.2025</t>
        </is>
      </c>
      <c r="D19" s="85" t="inlineStr">
        <is>
          <t>Rupasinghe</t>
        </is>
      </c>
      <c r="E19" s="85" t="inlineStr">
        <is>
          <t>Thusitha Wasantha</t>
        </is>
      </c>
      <c r="F19" s="92" t="n"/>
      <c r="G19" s="84" t="inlineStr">
        <is>
          <t>28.09.1965</t>
        </is>
      </c>
      <c r="H19" s="92" t="n"/>
      <c r="I19" s="92" t="n"/>
      <c r="J19" s="85" t="inlineStr">
        <is>
          <t>AUS</t>
        </is>
      </c>
      <c r="K19" s="85" t="inlineStr">
        <is>
          <t>AU, Melbourne</t>
        </is>
      </c>
      <c r="L19" s="85" t="inlineStr">
        <is>
          <t>PA5105070</t>
        </is>
      </c>
      <c r="M19" s="92" t="inlineStr"/>
      <c r="N19" s="92" t="n">
        <v>10</v>
      </c>
      <c r="O19" s="92" t="n"/>
      <c r="P19" s="92" t="n"/>
    </row>
    <row r="20" ht="12.75" customHeight="1" s="48">
      <c r="A20" s="92" t="n"/>
      <c r="B20" s="84" t="inlineStr">
        <is>
          <t>20.06.2025</t>
        </is>
      </c>
      <c r="C20" s="84" t="inlineStr">
        <is>
          <t>21.06.2025</t>
        </is>
      </c>
      <c r="D20" s="85" t="inlineStr">
        <is>
          <t>Vinzarajs</t>
        </is>
      </c>
      <c r="E20" s="85" t="inlineStr">
        <is>
          <t>Rihards</t>
        </is>
      </c>
      <c r="F20" s="92" t="n"/>
      <c r="G20" s="84" t="inlineStr">
        <is>
          <t>18.11.1987</t>
        </is>
      </c>
      <c r="H20" s="92" t="n"/>
      <c r="I20" s="92" t="n"/>
      <c r="J20" s="85" t="inlineStr">
        <is>
          <t>LVA</t>
        </is>
      </c>
      <c r="K20" s="85" t="inlineStr">
        <is>
          <t>NL, Saenredamstraat 4a, 2021ZR, Haarlem</t>
        </is>
      </c>
      <c r="L20" s="85" t="inlineStr">
        <is>
          <t>PA3468791</t>
        </is>
      </c>
      <c r="M20" s="92" t="inlineStr"/>
      <c r="N20" s="92" t="n">
        <v>10</v>
      </c>
      <c r="O20" s="92" t="n"/>
      <c r="P20" s="92" t="n"/>
    </row>
    <row r="21" ht="12.75" customHeight="1" s="48">
      <c r="A21" s="92" t="n"/>
      <c r="B21" s="84" t="inlineStr">
        <is>
          <t>20.06.2025</t>
        </is>
      </c>
      <c r="C21" s="84" t="inlineStr">
        <is>
          <t>27.06.2025</t>
        </is>
      </c>
      <c r="D21" s="85" t="inlineStr">
        <is>
          <t>Nehls</t>
        </is>
      </c>
      <c r="E21" s="85" t="inlineStr">
        <is>
          <t>Kathleen Stipek</t>
        </is>
      </c>
      <c r="F21" s="92" t="n"/>
      <c r="G21" s="84" t="inlineStr">
        <is>
          <t>15.01.1968</t>
        </is>
      </c>
      <c r="H21" s="92" t="n"/>
      <c r="I21" s="92" t="n"/>
      <c r="J21" s="85" t="inlineStr">
        <is>
          <t>USA</t>
        </is>
      </c>
      <c r="K21" s="85" t="inlineStr">
        <is>
          <t>US, Houston</t>
        </is>
      </c>
      <c r="L21" s="85" t="inlineStr">
        <is>
          <t>552818188</t>
        </is>
      </c>
      <c r="M21" s="92" t="inlineStr"/>
      <c r="N21" s="92" t="n">
        <v>10</v>
      </c>
      <c r="O21" s="92" t="n"/>
      <c r="P21" s="92" t="n"/>
    </row>
    <row r="22" ht="12.75" customHeight="1" s="48">
      <c r="A22" s="92" t="n"/>
      <c r="B22" s="84" t="inlineStr">
        <is>
          <t>20.06.2025</t>
        </is>
      </c>
      <c r="C22" s="84" t="inlineStr">
        <is>
          <t>27.06.2025</t>
        </is>
      </c>
      <c r="D22" s="85" t="inlineStr">
        <is>
          <t>Manis</t>
        </is>
      </c>
      <c r="E22" s="85" t="inlineStr">
        <is>
          <t>Ashley Megan</t>
        </is>
      </c>
      <c r="F22" s="92" t="n"/>
      <c r="G22" s="84" t="inlineStr">
        <is>
          <t>24.04.1992</t>
        </is>
      </c>
      <c r="H22" s="92" t="n"/>
      <c r="I22" s="92" t="n"/>
      <c r="J22" s="85" t="inlineStr">
        <is>
          <t>USA</t>
        </is>
      </c>
      <c r="K22" s="85" t="inlineStr">
        <is>
          <t>US, Str, 02467, Boston</t>
        </is>
      </c>
      <c r="L22" s="85" t="inlineStr">
        <is>
          <t>594143297</t>
        </is>
      </c>
      <c r="M22" s="92" t="inlineStr"/>
      <c r="N22" s="92" t="n">
        <v>10</v>
      </c>
      <c r="O22" s="92" t="n"/>
      <c r="P22" s="92" t="n"/>
    </row>
    <row r="23" ht="12.75" customHeight="1" s="48">
      <c r="A23" s="92" t="n"/>
      <c r="B23" s="84" t="inlineStr">
        <is>
          <t>20.06.2025</t>
        </is>
      </c>
      <c r="C23" s="84" t="inlineStr">
        <is>
          <t>21.06.2025</t>
        </is>
      </c>
      <c r="D23" s="85" t="inlineStr">
        <is>
          <t>Horvath</t>
        </is>
      </c>
      <c r="E23" s="85" t="inlineStr">
        <is>
          <t>Gabor Istvanne</t>
        </is>
      </c>
      <c r="F23" s="92" t="n"/>
      <c r="G23" s="84" t="inlineStr">
        <is>
          <t>20.09.1987</t>
        </is>
      </c>
      <c r="H23" s="92" t="n"/>
      <c r="I23" s="92" t="n"/>
      <c r="J23" s="85" t="inlineStr">
        <is>
          <t>HUN</t>
        </is>
      </c>
      <c r="K23" s="85" t="inlineStr">
        <is>
          <t>HU, Str, Budapest</t>
        </is>
      </c>
      <c r="L23" s="85" t="inlineStr">
        <is>
          <t>022510HE</t>
        </is>
      </c>
      <c r="M23" s="92" t="inlineStr"/>
      <c r="N23" s="92" t="n">
        <v>10</v>
      </c>
      <c r="O23" s="92" t="n"/>
      <c r="P23" s="92" t="n"/>
    </row>
    <row r="24" ht="12.75" customHeight="1" s="48">
      <c r="A24" s="92" t="n"/>
      <c r="B24" s="84" t="inlineStr">
        <is>
          <t>20.06.2025</t>
        </is>
      </c>
      <c r="C24" s="84" t="inlineStr">
        <is>
          <t>21.06.2025</t>
        </is>
      </c>
      <c r="D24" s="85" t="inlineStr">
        <is>
          <t>Garaczi</t>
        </is>
      </c>
      <c r="E24" s="85" t="inlineStr">
        <is>
          <t>Janos Teofil</t>
        </is>
      </c>
      <c r="F24" s="92" t="n"/>
      <c r="G24" s="84" t="inlineStr">
        <is>
          <t>25.12.1974</t>
        </is>
      </c>
      <c r="H24" s="92" t="n"/>
      <c r="I24" s="92" t="n"/>
      <c r="J24" s="85" t="inlineStr">
        <is>
          <t>HUN</t>
        </is>
      </c>
      <c r="K24" s="85" t="inlineStr">
        <is>
          <t>HU, Budapest</t>
        </is>
      </c>
      <c r="L24" s="85" t="inlineStr">
        <is>
          <t>720100RE</t>
        </is>
      </c>
      <c r="M24" s="92" t="inlineStr"/>
      <c r="N24" s="92" t="n">
        <v>10</v>
      </c>
      <c r="O24" s="92" t="n"/>
      <c r="P24" s="92" t="n"/>
    </row>
    <row r="25" ht="12.75" customHeight="1" s="48">
      <c r="A25" s="92" t="n"/>
      <c r="B25" s="84" t="inlineStr">
        <is>
          <t>20.06.2025</t>
        </is>
      </c>
      <c r="C25" s="84" t="inlineStr">
        <is>
          <t>27.06.2025</t>
        </is>
      </c>
      <c r="D25" s="85" t="inlineStr">
        <is>
          <t>Schwab</t>
        </is>
      </c>
      <c r="E25" s="85" t="inlineStr">
        <is>
          <t>Patrick Philip</t>
        </is>
      </c>
      <c r="F25" s="92" t="n"/>
      <c r="G25" s="84" t="inlineStr">
        <is>
          <t>08.03.2005</t>
        </is>
      </c>
      <c r="H25" s="92" t="n"/>
      <c r="I25" s="92" t="n"/>
      <c r="J25" s="85" t="inlineStr">
        <is>
          <t>DEU</t>
        </is>
      </c>
      <c r="K25" s="85" t="inlineStr">
        <is>
          <t>DE, Dresden</t>
        </is>
      </c>
      <c r="L25" s="85" t="inlineStr">
        <is>
          <t>L5NH75K6L</t>
        </is>
      </c>
      <c r="M25" s="92" t="inlineStr"/>
      <c r="N25" s="92" t="n">
        <v>10</v>
      </c>
      <c r="O25" s="92" t="n"/>
      <c r="P25" s="92" t="n"/>
    </row>
    <row r="26" ht="12.75" customHeight="1" s="48">
      <c r="A26" s="92" t="n"/>
      <c r="B26" s="84" t="inlineStr">
        <is>
          <t>20.06.2025</t>
        </is>
      </c>
      <c r="C26" s="84" t="inlineStr">
        <is>
          <t>21.06.2025</t>
        </is>
      </c>
      <c r="D26" s="85" t="inlineStr">
        <is>
          <t>Baji</t>
        </is>
      </c>
      <c r="E26" s="85" t="inlineStr">
        <is>
          <t>Gabor</t>
        </is>
      </c>
      <c r="F26" s="92" t="n"/>
      <c r="G26" s="84" t="inlineStr">
        <is>
          <t>04.06.1981</t>
        </is>
      </c>
      <c r="H26" s="92" t="n"/>
      <c r="I26" s="92" t="n"/>
      <c r="J26" s="85" t="inlineStr">
        <is>
          <t>HUN</t>
        </is>
      </c>
      <c r="K26" s="85" t="inlineStr">
        <is>
          <t>HU, Mercedes Benz Manufacturing Hungary, 6000, Kecskemet</t>
        </is>
      </c>
      <c r="L26" s="85" t="inlineStr">
        <is>
          <t>231086RE</t>
        </is>
      </c>
      <c r="M26" s="92" t="inlineStr"/>
      <c r="N26" s="92" t="n">
        <v>10</v>
      </c>
      <c r="O26" s="92" t="n"/>
      <c r="P26" s="92" t="n"/>
    </row>
    <row r="27" ht="12.75" customHeight="1" s="48">
      <c r="A27" s="92" t="n"/>
      <c r="B27" s="84" t="inlineStr">
        <is>
          <t>20.06.2025</t>
        </is>
      </c>
      <c r="C27" s="84" t="inlineStr">
        <is>
          <t>21.06.2025</t>
        </is>
      </c>
      <c r="D27" s="85" t="inlineStr">
        <is>
          <t>Balogh</t>
        </is>
      </c>
      <c r="E27" s="85" t="inlineStr">
        <is>
          <t>Szabolcs</t>
        </is>
      </c>
      <c r="F27" s="92" t="n"/>
      <c r="G27" s="84" t="inlineStr">
        <is>
          <t>27.03.1982</t>
        </is>
      </c>
      <c r="H27" s="92" t="n"/>
      <c r="I27" s="92" t="n"/>
      <c r="J27" s="85" t="inlineStr">
        <is>
          <t>HUN</t>
        </is>
      </c>
      <c r="K27" s="85" t="inlineStr">
        <is>
          <t>HU, Mercedes Benz Manufacturing Hungary Kft., 6000, Kecskemet</t>
        </is>
      </c>
      <c r="L27" s="85" t="inlineStr">
        <is>
          <t>565715ME</t>
        </is>
      </c>
      <c r="M27" s="92" t="inlineStr"/>
      <c r="N27" s="92" t="n">
        <v>10</v>
      </c>
      <c r="O27" s="92" t="n"/>
      <c r="P27" s="92" t="n"/>
    </row>
    <row r="28" ht="12.75" customHeight="1" s="48">
      <c r="A28" s="92" t="n"/>
      <c r="B28" s="84" t="inlineStr">
        <is>
          <t>20.06.2025</t>
        </is>
      </c>
      <c r="C28" s="84" t="inlineStr">
        <is>
          <t>27.06.2025</t>
        </is>
      </c>
      <c r="D28" s="85" t="inlineStr">
        <is>
          <t>Dunn</t>
        </is>
      </c>
      <c r="E28" s="85" t="inlineStr">
        <is>
          <t>Warwick Brian</t>
        </is>
      </c>
      <c r="F28" s="92" t="n"/>
      <c r="G28" s="84" t="inlineStr">
        <is>
          <t>26.03.1972</t>
        </is>
      </c>
      <c r="H28" s="92" t="n"/>
      <c r="I28" s="92" t="n"/>
      <c r="J28" s="85" t="inlineStr">
        <is>
          <t>GBR</t>
        </is>
      </c>
      <c r="K28" s="85" t="inlineStr">
        <is>
          <t>GB, Manchester</t>
        </is>
      </c>
      <c r="L28" s="85" t="inlineStr">
        <is>
          <t>534213619</t>
        </is>
      </c>
      <c r="M28" s="92" t="inlineStr"/>
      <c r="N28" s="92" t="n">
        <v>10</v>
      </c>
      <c r="O28" s="92" t="n"/>
      <c r="P28" s="92" t="n"/>
    </row>
    <row r="29" ht="12.75" customHeight="1" s="48">
      <c r="A29" s="92" t="n"/>
      <c r="B29" s="84" t="inlineStr">
        <is>
          <t>20.06.2025</t>
        </is>
      </c>
      <c r="C29" s="84" t="inlineStr">
        <is>
          <t>27.06.2025</t>
        </is>
      </c>
      <c r="D29" s="85" t="inlineStr">
        <is>
          <t>Winder</t>
        </is>
      </c>
      <c r="E29" s="85" t="inlineStr">
        <is>
          <t>Catherine Louise</t>
        </is>
      </c>
      <c r="F29" s="92" t="n"/>
      <c r="G29" s="84" t="inlineStr">
        <is>
          <t>10.01.1974</t>
        </is>
      </c>
      <c r="H29" s="92" t="n"/>
      <c r="I29" s="92" t="n"/>
      <c r="J29" s="85" t="inlineStr">
        <is>
          <t>GBR</t>
        </is>
      </c>
      <c r="K29" s="85" t="inlineStr">
        <is>
          <t>GB, str, Liverpool</t>
        </is>
      </c>
      <c r="L29" s="85" t="inlineStr">
        <is>
          <t>141703959</t>
        </is>
      </c>
      <c r="M29" s="92" t="inlineStr"/>
      <c r="N29" s="92" t="n">
        <v>10</v>
      </c>
      <c r="O29" s="92" t="n"/>
      <c r="P29" s="92" t="n"/>
    </row>
    <row r="30" ht="12.75" customHeight="1" s="48">
      <c r="A30" s="92" t="n"/>
      <c r="B30" s="84" t="inlineStr">
        <is>
          <t>20.06.2025</t>
        </is>
      </c>
      <c r="C30" s="84" t="inlineStr">
        <is>
          <t>25.06.2025</t>
        </is>
      </c>
      <c r="D30" s="85" t="inlineStr">
        <is>
          <t>Maiorano</t>
        </is>
      </c>
      <c r="E30" s="85" t="inlineStr">
        <is>
          <t>Angela Marie</t>
        </is>
      </c>
      <c r="F30" s="92" t="n"/>
      <c r="G30" s="84" t="inlineStr">
        <is>
          <t>08.10.1980</t>
        </is>
      </c>
      <c r="H30" s="92" t="n"/>
      <c r="I30" s="92" t="n"/>
      <c r="J30" s="85" t="inlineStr">
        <is>
          <t>USA</t>
        </is>
      </c>
      <c r="K30" s="85" t="inlineStr">
        <is>
          <t>US, Austin</t>
        </is>
      </c>
      <c r="L30" s="85" t="inlineStr">
        <is>
          <t>A58249259</t>
        </is>
      </c>
      <c r="M30" s="92" t="inlineStr"/>
      <c r="N30" s="92" t="n">
        <v>10</v>
      </c>
      <c r="O30" s="92" t="n"/>
      <c r="P30" s="92" t="n"/>
    </row>
    <row r="31" ht="12.75" customHeight="1" s="48">
      <c r="A31" s="92" t="n"/>
      <c r="B31" s="84" t="inlineStr">
        <is>
          <t>20.06.2025</t>
        </is>
      </c>
      <c r="C31" s="84" t="inlineStr">
        <is>
          <t>21.06.2025</t>
        </is>
      </c>
      <c r="D31" s="85" t="inlineStr">
        <is>
          <t>Jones</t>
        </is>
      </c>
      <c r="E31" s="85" t="inlineStr">
        <is>
          <t>Melodee</t>
        </is>
      </c>
      <c r="F31" s="92" t="n"/>
      <c r="G31" s="84" t="inlineStr">
        <is>
          <t>29.09.1991</t>
        </is>
      </c>
      <c r="H31" s="92" t="n"/>
      <c r="I31" s="92" t="n"/>
      <c r="J31" s="85" t="inlineStr">
        <is>
          <t>USA</t>
        </is>
      </c>
      <c r="K31" s="85" t="inlineStr">
        <is>
          <t>US, 851 State St, 28752, Marion</t>
        </is>
      </c>
      <c r="L31" s="85" t="inlineStr">
        <is>
          <t>2950059153</t>
        </is>
      </c>
      <c r="M31" s="92" t="inlineStr"/>
      <c r="N31" s="92" t="n">
        <v>10</v>
      </c>
      <c r="O31" s="92" t="n"/>
      <c r="P31" s="92" t="n"/>
    </row>
    <row r="32" ht="12.75" customHeight="1" s="48">
      <c r="A32" s="92" t="n"/>
      <c r="B32" s="84" t="inlineStr">
        <is>
          <t>20.06.2025</t>
        </is>
      </c>
      <c r="C32" s="84" t="inlineStr">
        <is>
          <t>21.06.2025</t>
        </is>
      </c>
      <c r="D32" s="85" t="inlineStr">
        <is>
          <t>Gutmann</t>
        </is>
      </c>
      <c r="E32" s="85" t="inlineStr">
        <is>
          <t>Heidi</t>
        </is>
      </c>
      <c r="F32" s="92" t="n"/>
      <c r="G32" s="84" t="inlineStr">
        <is>
          <t>12.12.1950</t>
        </is>
      </c>
      <c r="H32" s="92" t="n"/>
      <c r="I32" s="92" t="n"/>
      <c r="J32" s="85" t="inlineStr">
        <is>
          <t>AUT</t>
        </is>
      </c>
      <c r="K32" s="85" t="inlineStr">
        <is>
          <t>AT, Wien</t>
        </is>
      </c>
      <c r="L32" s="85" t="inlineStr">
        <is>
          <t>CAVWJNFHF</t>
        </is>
      </c>
      <c r="M32" s="92" t="inlineStr"/>
      <c r="N32" s="92" t="n">
        <v>10</v>
      </c>
      <c r="O32" s="92" t="n"/>
      <c r="P32" s="92" t="n"/>
    </row>
    <row r="33" ht="12.75" customHeight="1" s="48">
      <c r="A33" s="92" t="n"/>
      <c r="B33" s="84" t="inlineStr">
        <is>
          <t>20.06.2025</t>
        </is>
      </c>
      <c r="C33" s="84" t="inlineStr">
        <is>
          <t>21.06.2025</t>
        </is>
      </c>
      <c r="D33" s="85" t="inlineStr">
        <is>
          <t>Fruhmann</t>
        </is>
      </c>
      <c r="E33" s="85" t="inlineStr">
        <is>
          <t>Angela</t>
        </is>
      </c>
      <c r="F33" s="92" t="n"/>
      <c r="G33" s="84" t="inlineStr">
        <is>
          <t>18.12.1949</t>
        </is>
      </c>
      <c r="H33" s="92" t="n"/>
      <c r="I33" s="92" t="n"/>
      <c r="J33" s="85" t="inlineStr">
        <is>
          <t>AUT</t>
        </is>
      </c>
      <c r="K33" s="85" t="inlineStr">
        <is>
          <t>AT, Wien</t>
        </is>
      </c>
      <c r="L33" s="85" t="inlineStr">
        <is>
          <t>U2523211</t>
        </is>
      </c>
      <c r="M33" s="92" t="inlineStr"/>
      <c r="N33" s="92" t="n">
        <v>10</v>
      </c>
      <c r="O33" s="92" t="n"/>
      <c r="P33" s="92" t="n"/>
    </row>
    <row r="34" ht="12.75" customHeight="1" s="48">
      <c r="A34" s="92" t="n"/>
      <c r="B34" s="84" t="inlineStr">
        <is>
          <t>20.06.2025</t>
        </is>
      </c>
      <c r="C34" s="84" t="inlineStr">
        <is>
          <t>21.06.2025</t>
        </is>
      </c>
      <c r="D34" s="85" t="inlineStr">
        <is>
          <t>Assmann</t>
        </is>
      </c>
      <c r="E34" s="85" t="inlineStr">
        <is>
          <t>Elisabeth</t>
        </is>
      </c>
      <c r="F34" s="92" t="n"/>
      <c r="G34" s="84" t="inlineStr">
        <is>
          <t>16.08.1957</t>
        </is>
      </c>
      <c r="H34" s="92" t="n"/>
      <c r="I34" s="92" t="n"/>
      <c r="J34" s="85" t="inlineStr">
        <is>
          <t>AUT</t>
        </is>
      </c>
      <c r="K34" s="85" t="inlineStr">
        <is>
          <t>AT, Wien</t>
        </is>
      </c>
      <c r="L34" s="85" t="inlineStr">
        <is>
          <t>U4758891</t>
        </is>
      </c>
      <c r="M34" s="92" t="inlineStr"/>
      <c r="N34" s="92" t="n">
        <v>10</v>
      </c>
      <c r="O34" s="92" t="n"/>
      <c r="P34" s="92" t="n"/>
    </row>
    <row r="35" ht="12.75" customHeight="1" s="48">
      <c r="A35" s="92" t="n"/>
      <c r="B35" s="84" t="inlineStr">
        <is>
          <t>20.06.2025</t>
        </is>
      </c>
      <c r="C35" s="84" t="inlineStr">
        <is>
          <t>21.06.2025</t>
        </is>
      </c>
      <c r="D35" s="85" t="inlineStr">
        <is>
          <t>Wuerlinger</t>
        </is>
      </c>
      <c r="E35" s="85" t="inlineStr">
        <is>
          <t>Ulrike</t>
        </is>
      </c>
      <c r="F35" s="92" t="n"/>
      <c r="G35" s="84" t="inlineStr">
        <is>
          <t>22.03.1958</t>
        </is>
      </c>
      <c r="H35" s="92" t="n"/>
      <c r="I35" s="92" t="n"/>
      <c r="J35" s="85" t="inlineStr">
        <is>
          <t>AUT</t>
        </is>
      </c>
      <c r="K35" s="85" t="inlineStr">
        <is>
          <t>AT, Wien</t>
        </is>
      </c>
      <c r="L35" s="85" t="inlineStr">
        <is>
          <t>U3503040</t>
        </is>
      </c>
      <c r="M35" s="92" t="inlineStr"/>
      <c r="N35" s="92" t="n">
        <v>10</v>
      </c>
      <c r="O35" s="92" t="n"/>
      <c r="P35" s="92" t="n"/>
    </row>
    <row r="36" ht="12.75" customHeight="1" s="48">
      <c r="A36" s="92" t="n"/>
      <c r="B36" s="84" t="inlineStr">
        <is>
          <t>20.06.2025</t>
        </is>
      </c>
      <c r="C36" s="84" t="inlineStr">
        <is>
          <t>21.06.2025</t>
        </is>
      </c>
      <c r="D36" s="85" t="inlineStr">
        <is>
          <t>Simbuerger</t>
        </is>
      </c>
      <c r="E36" s="85" t="inlineStr">
        <is>
          <t>Johann</t>
        </is>
      </c>
      <c r="F36" s="92" t="n"/>
      <c r="G36" s="84" t="inlineStr">
        <is>
          <t>27.01.1950</t>
        </is>
      </c>
      <c r="H36" s="92" t="n"/>
      <c r="I36" s="92" t="n"/>
      <c r="J36" s="85" t="inlineStr">
        <is>
          <t>AUT</t>
        </is>
      </c>
      <c r="K36" s="85" t="inlineStr">
        <is>
          <t>AT, Wien</t>
        </is>
      </c>
      <c r="L36" s="85" t="inlineStr">
        <is>
          <t>U3659660</t>
        </is>
      </c>
      <c r="M36" s="92" t="inlineStr"/>
      <c r="N36" s="92" t="n">
        <v>10</v>
      </c>
      <c r="O36" s="92" t="n"/>
      <c r="P36" s="92" t="n"/>
    </row>
    <row r="37" ht="12.75" customHeight="1" s="48">
      <c r="A37" s="92" t="n"/>
      <c r="B37" s="84" t="inlineStr">
        <is>
          <t>20.06.2025</t>
        </is>
      </c>
      <c r="C37" s="84" t="inlineStr">
        <is>
          <t>21.06.2025</t>
        </is>
      </c>
      <c r="D37" s="85" t="inlineStr">
        <is>
          <t>Simbuerger</t>
        </is>
      </c>
      <c r="E37" s="85" t="inlineStr">
        <is>
          <t>Hermine</t>
        </is>
      </c>
      <c r="F37" s="92" t="n"/>
      <c r="G37" s="84" t="inlineStr">
        <is>
          <t>13.11.1953</t>
        </is>
      </c>
      <c r="H37" s="92" t="n"/>
      <c r="I37" s="92" t="n"/>
      <c r="J37" s="85" t="inlineStr">
        <is>
          <t>AUT</t>
        </is>
      </c>
      <c r="K37" s="85" t="inlineStr">
        <is>
          <t>AT, Wien</t>
        </is>
      </c>
      <c r="L37" s="85" t="inlineStr">
        <is>
          <t>U3659661</t>
        </is>
      </c>
      <c r="M37" s="92" t="inlineStr"/>
      <c r="N37" s="92" t="n">
        <v>10</v>
      </c>
      <c r="O37" s="92" t="n"/>
      <c r="P37" s="92" t="n"/>
    </row>
    <row r="38" ht="12.75" customHeight="1" s="48">
      <c r="A38" s="92" t="n"/>
      <c r="B38" s="84" t="inlineStr">
        <is>
          <t>20.06.2025</t>
        </is>
      </c>
      <c r="C38" s="84" t="inlineStr">
        <is>
          <t>21.06.2025</t>
        </is>
      </c>
      <c r="D38" s="85" t="inlineStr">
        <is>
          <t>Zloebl</t>
        </is>
      </c>
      <c r="E38" s="85" t="inlineStr">
        <is>
          <t>Gertrude</t>
        </is>
      </c>
      <c r="F38" s="92" t="n"/>
      <c r="G38" s="84" t="inlineStr">
        <is>
          <t>13.11.1951</t>
        </is>
      </c>
      <c r="H38" s="92" t="n"/>
      <c r="I38" s="92" t="n"/>
      <c r="J38" s="85" t="inlineStr">
        <is>
          <t>AUT</t>
        </is>
      </c>
      <c r="K38" s="85" t="inlineStr">
        <is>
          <t>AT, Wien</t>
        </is>
      </c>
      <c r="L38" s="85" t="inlineStr">
        <is>
          <t>PA2372427</t>
        </is>
      </c>
      <c r="M38" s="92" t="inlineStr"/>
      <c r="N38" s="92" t="n">
        <v>10</v>
      </c>
      <c r="O38" s="92" t="n"/>
      <c r="P38" s="92" t="n"/>
    </row>
    <row r="39" ht="12.75" customHeight="1" s="48">
      <c r="A39" s="92" t="n"/>
      <c r="B39" s="84" t="inlineStr">
        <is>
          <t>20.06.2025</t>
        </is>
      </c>
      <c r="C39" s="84" t="inlineStr">
        <is>
          <t>21.06.2025</t>
        </is>
      </c>
      <c r="D39" s="85" t="inlineStr">
        <is>
          <t>Zloebl</t>
        </is>
      </c>
      <c r="E39" s="85" t="inlineStr">
        <is>
          <t>Leonhard</t>
        </is>
      </c>
      <c r="F39" s="92" t="n"/>
      <c r="G39" s="84" t="inlineStr">
        <is>
          <t>12.08.1938</t>
        </is>
      </c>
      <c r="H39" s="92" t="n"/>
      <c r="I39" s="92" t="n"/>
      <c r="J39" s="85" t="inlineStr">
        <is>
          <t>AUT</t>
        </is>
      </c>
      <c r="K39" s="85" t="inlineStr">
        <is>
          <t>AT, Wien</t>
        </is>
      </c>
      <c r="L39" s="85" t="inlineStr">
        <is>
          <t>PA2312248</t>
        </is>
      </c>
      <c r="M39" s="92" t="inlineStr"/>
      <c r="N39" s="92" t="n">
        <v>10</v>
      </c>
      <c r="O39" s="92" t="n"/>
      <c r="P39" s="92" t="n"/>
    </row>
    <row r="40" ht="12.75" customHeight="1" s="48">
      <c r="A40" s="92" t="n"/>
      <c r="B40" s="84" t="inlineStr">
        <is>
          <t>20.06.2025</t>
        </is>
      </c>
      <c r="C40" s="84" t="inlineStr">
        <is>
          <t>21.06.2025</t>
        </is>
      </c>
      <c r="D40" s="85" t="inlineStr">
        <is>
          <t>Horvath</t>
        </is>
      </c>
      <c r="E40" s="85" t="inlineStr">
        <is>
          <t>Ursula</t>
        </is>
      </c>
      <c r="F40" s="92" t="n"/>
      <c r="G40" s="84" t="inlineStr">
        <is>
          <t>11.11.1966</t>
        </is>
      </c>
      <c r="H40" s="92" t="n"/>
      <c r="I40" s="92" t="n"/>
      <c r="J40" s="85" t="inlineStr">
        <is>
          <t>AUT</t>
        </is>
      </c>
      <c r="K40" s="85" t="inlineStr">
        <is>
          <t>AT, Wien</t>
        </is>
      </c>
      <c r="L40" s="85" t="inlineStr">
        <is>
          <t>AP1374515</t>
        </is>
      </c>
      <c r="M40" s="92" t="inlineStr"/>
      <c r="N40" s="92" t="n">
        <v>10</v>
      </c>
      <c r="O40" s="92" t="n"/>
      <c r="P40" s="92" t="n"/>
    </row>
    <row r="41" ht="12.75" customHeight="1" s="48">
      <c r="A41" s="92" t="n"/>
      <c r="B41" s="84" t="inlineStr">
        <is>
          <t>20.06.2025</t>
        </is>
      </c>
      <c r="C41" s="84" t="inlineStr">
        <is>
          <t>21.06.2025</t>
        </is>
      </c>
      <c r="D41" s="85" t="inlineStr">
        <is>
          <t>Horvath</t>
        </is>
      </c>
      <c r="E41" s="85" t="inlineStr">
        <is>
          <t>Helfried</t>
        </is>
      </c>
      <c r="F41" s="92" t="n"/>
      <c r="G41" s="84" t="inlineStr">
        <is>
          <t>23.09.1956</t>
        </is>
      </c>
      <c r="H41" s="92" t="n"/>
      <c r="I41" s="92" t="n"/>
      <c r="J41" s="85" t="inlineStr">
        <is>
          <t>AUT</t>
        </is>
      </c>
      <c r="K41" s="85" t="inlineStr">
        <is>
          <t>AT, Wien</t>
        </is>
      </c>
      <c r="L41" s="85" t="inlineStr">
        <is>
          <t>AP1374714</t>
        </is>
      </c>
      <c r="M41" s="92" t="inlineStr"/>
      <c r="N41" s="92" t="n">
        <v>10</v>
      </c>
      <c r="O41" s="92" t="n"/>
      <c r="P41" s="92" t="n"/>
    </row>
    <row r="42" ht="12.75" customHeight="1" s="48">
      <c r="A42" s="92" t="n"/>
      <c r="B42" s="84" t="inlineStr">
        <is>
          <t>20.06.2025</t>
        </is>
      </c>
      <c r="C42" s="84" t="inlineStr">
        <is>
          <t>21.06.2025</t>
        </is>
      </c>
      <c r="D42" s="85" t="inlineStr">
        <is>
          <t>Weber</t>
        </is>
      </c>
      <c r="E42" s="85" t="inlineStr">
        <is>
          <t>Ernst</t>
        </is>
      </c>
      <c r="F42" s="92" t="n"/>
      <c r="G42" s="84" t="inlineStr">
        <is>
          <t>12.08.1968</t>
        </is>
      </c>
      <c r="H42" s="92" t="n"/>
      <c r="I42" s="92" t="n"/>
      <c r="J42" s="85" t="inlineStr">
        <is>
          <t>AUT</t>
        </is>
      </c>
      <c r="K42" s="85" t="inlineStr">
        <is>
          <t>AT, Wien</t>
        </is>
      </c>
      <c r="L42" s="85" t="inlineStr">
        <is>
          <t>AP0143784</t>
        </is>
      </c>
      <c r="M42" s="92" t="inlineStr"/>
      <c r="N42" s="92" t="n">
        <v>10</v>
      </c>
      <c r="O42" s="92" t="n"/>
      <c r="P42" s="92" t="n"/>
    </row>
    <row r="43" ht="12.75" customHeight="1" s="48">
      <c r="A43" s="92" t="n"/>
      <c r="B43" s="84" t="inlineStr">
        <is>
          <t>20.06.2025</t>
        </is>
      </c>
      <c r="C43" s="84" t="inlineStr">
        <is>
          <t>21.06.2025</t>
        </is>
      </c>
      <c r="D43" s="85" t="inlineStr">
        <is>
          <t>Weber</t>
        </is>
      </c>
      <c r="E43" s="85" t="inlineStr">
        <is>
          <t>Renate</t>
        </is>
      </c>
      <c r="F43" s="92" t="n"/>
      <c r="G43" s="84" t="inlineStr">
        <is>
          <t>14.01.1969</t>
        </is>
      </c>
      <c r="H43" s="92" t="n"/>
      <c r="I43" s="92" t="n"/>
      <c r="J43" s="85" t="inlineStr">
        <is>
          <t>AUT</t>
        </is>
      </c>
      <c r="K43" s="85" t="inlineStr">
        <is>
          <t>AT, Wien</t>
        </is>
      </c>
      <c r="L43" s="85" t="inlineStr">
        <is>
          <t>U4772109</t>
        </is>
      </c>
      <c r="M43" s="92" t="inlineStr"/>
      <c r="N43" s="92" t="n">
        <v>10</v>
      </c>
      <c r="O43" s="92" t="n"/>
      <c r="P43" s="92" t="n"/>
    </row>
    <row r="44" ht="12.75" customHeight="1" s="48">
      <c r="A44" s="92" t="n"/>
      <c r="B44" s="84" t="inlineStr">
        <is>
          <t>20.06.2025</t>
        </is>
      </c>
      <c r="C44" s="84" t="inlineStr">
        <is>
          <t>21.06.2025</t>
        </is>
      </c>
      <c r="D44" s="85" t="inlineStr">
        <is>
          <t>Bauer</t>
        </is>
      </c>
      <c r="E44" s="85" t="inlineStr">
        <is>
          <t>Anita</t>
        </is>
      </c>
      <c r="F44" s="92" t="n"/>
      <c r="G44" s="84" t="inlineStr">
        <is>
          <t>13.02.1964</t>
        </is>
      </c>
      <c r="H44" s="92" t="n"/>
      <c r="I44" s="92" t="n"/>
      <c r="J44" s="85" t="inlineStr">
        <is>
          <t>AUT</t>
        </is>
      </c>
      <c r="K44" s="85" t="inlineStr">
        <is>
          <t>AT, Wien</t>
        </is>
      </c>
      <c r="L44" s="85" t="inlineStr">
        <is>
          <t>U3138668</t>
        </is>
      </c>
      <c r="M44" s="92" t="inlineStr"/>
      <c r="N44" s="92" t="n">
        <v>10</v>
      </c>
      <c r="O44" s="92" t="n"/>
      <c r="P44" s="92" t="n"/>
    </row>
    <row r="45" ht="12.75" customHeight="1" s="48">
      <c r="A45" s="92" t="n"/>
      <c r="B45" s="84" t="inlineStr">
        <is>
          <t>20.06.2025</t>
        </is>
      </c>
      <c r="C45" s="84" t="inlineStr">
        <is>
          <t>27.06.2025</t>
        </is>
      </c>
      <c r="D45" s="85" t="inlineStr">
        <is>
          <t>Rajkumar</t>
        </is>
      </c>
      <c r="E45" s="85" t="inlineStr">
        <is>
          <t>Prajit</t>
        </is>
      </c>
      <c r="F45" s="92" t="n"/>
      <c r="G45" s="84" t="inlineStr">
        <is>
          <t>09.12.2004</t>
        </is>
      </c>
      <c r="H45" s="92" t="n"/>
      <c r="I45" s="92" t="n"/>
      <c r="J45" s="85" t="inlineStr">
        <is>
          <t>USA</t>
        </is>
      </c>
      <c r="K45" s="85" t="inlineStr">
        <is>
          <t>US, 2335 Sueno Way, 94539, Fremont</t>
        </is>
      </c>
      <c r="L45" s="85" t="inlineStr">
        <is>
          <t>A52647427</t>
        </is>
      </c>
      <c r="M45" s="92" t="inlineStr"/>
      <c r="N45" s="92" t="n">
        <v>10</v>
      </c>
      <c r="O45" s="92" t="n"/>
      <c r="P45" s="92" t="n"/>
    </row>
    <row r="46" ht="12.75" customHeight="1" s="48">
      <c r="A46" s="92" t="n"/>
      <c r="B46" s="84" t="inlineStr">
        <is>
          <t>20.06.2025</t>
        </is>
      </c>
      <c r="C46" s="84" t="inlineStr">
        <is>
          <t>22.06.2025</t>
        </is>
      </c>
      <c r="D46" s="85" t="inlineStr">
        <is>
          <t>Yilmaz</t>
        </is>
      </c>
      <c r="E46" s="85" t="inlineStr">
        <is>
          <t>Mrmehmet</t>
        </is>
      </c>
      <c r="F46" s="92" t="n"/>
      <c r="G46" s="84" t="inlineStr">
        <is>
          <t>09.03.1969</t>
        </is>
      </c>
      <c r="H46" s="92" t="n"/>
      <c r="I46" s="92" t="n"/>
      <c r="J46" s="85" t="inlineStr">
        <is>
          <t>DEU</t>
        </is>
      </c>
      <c r="K46" s="85" t="inlineStr">
        <is>
          <t>US, 278 Arlington Drive, 48307, Rochester-Hills</t>
        </is>
      </c>
      <c r="L46" s="85" t="inlineStr">
        <is>
          <t>L234ZCK3G</t>
        </is>
      </c>
      <c r="M46" s="92" t="inlineStr"/>
      <c r="N46" s="92" t="n">
        <v>10</v>
      </c>
      <c r="O46" s="92" t="n"/>
      <c r="P46" s="92" t="n"/>
    </row>
    <row r="47" ht="12.75" customHeight="1" s="48">
      <c r="A47" s="92" t="n"/>
      <c r="B47" s="84" t="inlineStr">
        <is>
          <t>20.06.2025</t>
        </is>
      </c>
      <c r="C47" s="84" t="inlineStr">
        <is>
          <t>22.06.2025</t>
        </is>
      </c>
      <c r="D47" s="85" t="inlineStr">
        <is>
          <t>Rabinovich</t>
        </is>
      </c>
      <c r="E47" s="85" t="inlineStr">
        <is>
          <t>Avraham</t>
        </is>
      </c>
      <c r="F47" s="92" t="n"/>
      <c r="G47" s="84" t="inlineStr">
        <is>
          <t>04.12.1954</t>
        </is>
      </c>
      <c r="H47" s="92" t="n"/>
      <c r="I47" s="92" t="n"/>
      <c r="J47" s="85" t="inlineStr">
        <is>
          <t>ISR</t>
        </is>
      </c>
      <c r="K47" s="85" t="inlineStr">
        <is>
          <t>IL, Efroni 11, 7169418, Modi'In-Maccabim-Re'Ut</t>
        </is>
      </c>
      <c r="L47" s="85" t="inlineStr">
        <is>
          <t>36816753</t>
        </is>
      </c>
      <c r="M47" s="92" t="inlineStr"/>
      <c r="N47" s="92" t="n">
        <v>10</v>
      </c>
      <c r="O47" s="92" t="n"/>
      <c r="P47" s="92" t="n"/>
    </row>
    <row r="48" ht="12.75" customHeight="1" s="48">
      <c r="A48" s="92" t="n"/>
      <c r="B48" s="84" t="inlineStr">
        <is>
          <t>20.06.2025</t>
        </is>
      </c>
      <c r="C48" s="84" t="inlineStr">
        <is>
          <t>24.06.2025</t>
        </is>
      </c>
      <c r="D48" s="85" t="inlineStr">
        <is>
          <t>Ara</t>
        </is>
      </c>
      <c r="E48" s="85" t="inlineStr">
        <is>
          <t>Takeshi</t>
        </is>
      </c>
      <c r="F48" s="92" t="n"/>
      <c r="G48" s="84" t="inlineStr">
        <is>
          <t>22.02.1969</t>
        </is>
      </c>
      <c r="H48" s="92" t="n"/>
      <c r="I48" s="92" t="n"/>
      <c r="J48" s="85" t="inlineStr">
        <is>
          <t>JPN</t>
        </is>
      </c>
      <c r="K48" s="85" t="inlineStr">
        <is>
          <t>JP, Garden Hills Sakuragaoka C-2, 4110801, Mishima</t>
        </is>
      </c>
      <c r="L48" s="85" t="inlineStr">
        <is>
          <t>TM0026788</t>
        </is>
      </c>
      <c r="M48" s="92" t="inlineStr"/>
      <c r="N48" s="92" t="n">
        <v>10</v>
      </c>
      <c r="O48" s="92" t="n"/>
      <c r="P48" s="92" t="n"/>
    </row>
    <row r="49" ht="12.75" customHeight="1" s="48">
      <c r="A49" s="92" t="n"/>
      <c r="B49" s="84" t="inlineStr">
        <is>
          <t>20.06.2025</t>
        </is>
      </c>
      <c r="C49" s="84" t="inlineStr">
        <is>
          <t>22.06.2025</t>
        </is>
      </c>
      <c r="D49" s="85" t="inlineStr">
        <is>
          <t>Bodhorn</t>
        </is>
      </c>
      <c r="E49" s="85" t="inlineStr">
        <is>
          <t>Markus</t>
        </is>
      </c>
      <c r="F49" s="92" t="n"/>
      <c r="G49" s="84" t="inlineStr">
        <is>
          <t>22.04.1972</t>
        </is>
      </c>
      <c r="H49" s="92" t="n"/>
      <c r="I49" s="92" t="n"/>
      <c r="J49" s="85" t="inlineStr">
        <is>
          <t>DEU</t>
        </is>
      </c>
      <c r="K49" s="85" t="inlineStr">
        <is>
          <t>DE, Jauerstr. 14, 90473, Nurnberg</t>
        </is>
      </c>
      <c r="L49" s="85" t="inlineStr">
        <is>
          <t>lh0r5mp4r</t>
        </is>
      </c>
      <c r="M49" s="92" t="inlineStr"/>
      <c r="N49" s="92" t="n">
        <v>10</v>
      </c>
      <c r="O49" s="92" t="n"/>
      <c r="P49" s="92" t="n"/>
    </row>
    <row r="50" ht="12.75" customHeight="1" s="48">
      <c r="A50" s="92" t="n"/>
      <c r="B50" s="84" t="inlineStr">
        <is>
          <t>20.06.2025</t>
        </is>
      </c>
      <c r="C50" s="84" t="inlineStr">
        <is>
          <t>21.06.2025</t>
        </is>
      </c>
      <c r="D50" s="85" t="inlineStr">
        <is>
          <t>Viramontes</t>
        </is>
      </c>
      <c r="E50" s="85" t="inlineStr">
        <is>
          <t>Antonio</t>
        </is>
      </c>
      <c r="F50" s="92" t="n"/>
      <c r="G50" s="84" t="inlineStr">
        <is>
          <t>20.12.1970</t>
        </is>
      </c>
      <c r="H50" s="92" t="n"/>
      <c r="I50" s="92" t="n"/>
      <c r="J50" s="85" t="inlineStr">
        <is>
          <t>MEX</t>
        </is>
      </c>
      <c r="K50" s="85" t="inlineStr">
        <is>
          <t>MX, Vicente Guerrero 255, 50160, Toluca Estado De</t>
        </is>
      </c>
      <c r="L50" s="85" t="inlineStr">
        <is>
          <t>G34574269</t>
        </is>
      </c>
      <c r="M50" s="92" t="inlineStr"/>
      <c r="N50" s="92" t="n">
        <v>10</v>
      </c>
      <c r="O50" s="92" t="n"/>
      <c r="P50" s="92" t="n"/>
    </row>
    <row r="51" ht="12.75" customHeight="1" s="48">
      <c r="A51" s="92" t="n"/>
      <c r="B51" s="84" t="inlineStr">
        <is>
          <t>20.06.2025</t>
        </is>
      </c>
      <c r="C51" s="84" t="inlineStr">
        <is>
          <t>21.06.2025</t>
        </is>
      </c>
      <c r="D51" s="85" t="inlineStr">
        <is>
          <t>Horo</t>
        </is>
      </c>
      <c r="E51" s="85" t="inlineStr">
        <is>
          <t>Sammy</t>
        </is>
      </c>
      <c r="F51" s="92" t="n"/>
      <c r="G51" s="84" t="inlineStr">
        <is>
          <t>21.10.1988</t>
        </is>
      </c>
      <c r="H51" s="92" t="n"/>
      <c r="I51" s="92" t="n"/>
      <c r="J51" s="85" t="inlineStr">
        <is>
          <t>USA</t>
        </is>
      </c>
      <c r="K51" s="85" t="inlineStr">
        <is>
          <t>AE, Art Gardens Arjan, 0000, Dubai</t>
        </is>
      </c>
      <c r="L51" s="85" t="inlineStr">
        <is>
          <t>548791116</t>
        </is>
      </c>
      <c r="M51" s="92" t="inlineStr"/>
      <c r="N51" s="92" t="n">
        <v>10</v>
      </c>
      <c r="O51" s="92" t="n"/>
      <c r="P51" s="92" t="n"/>
    </row>
    <row r="52" ht="12.75" customHeight="1" s="48">
      <c r="A52" s="92" t="n"/>
      <c r="B52" s="84" t="inlineStr">
        <is>
          <t>20.06.2025</t>
        </is>
      </c>
      <c r="C52" s="84" t="inlineStr">
        <is>
          <t>21.06.2025</t>
        </is>
      </c>
      <c r="D52" s="85" t="inlineStr">
        <is>
          <t>Bauer</t>
        </is>
      </c>
      <c r="E52" s="85" t="inlineStr">
        <is>
          <t>Ernst</t>
        </is>
      </c>
      <c r="F52" s="92" t="n"/>
      <c r="G52" s="84" t="inlineStr">
        <is>
          <t>08.07.1962</t>
        </is>
      </c>
      <c r="H52" s="92" t="n"/>
      <c r="I52" s="92" t="n"/>
      <c r="J52" s="85" t="inlineStr">
        <is>
          <t>AUT</t>
        </is>
      </c>
      <c r="K52" s="85" t="inlineStr">
        <is>
          <t>AT, Wien</t>
        </is>
      </c>
      <c r="L52" s="85" t="inlineStr">
        <is>
          <t>AP0688815</t>
        </is>
      </c>
      <c r="M52" s="92" t="inlineStr"/>
      <c r="N52" s="92" t="n">
        <v>10</v>
      </c>
      <c r="O52" s="92" t="n"/>
      <c r="P52" s="92" t="n"/>
    </row>
    <row r="53" ht="12.75" customHeight="1" s="48">
      <c r="A53" s="92" t="n"/>
      <c r="B53" s="84" t="inlineStr">
        <is>
          <t>20.06.2025</t>
        </is>
      </c>
      <c r="C53" s="84" t="inlineStr">
        <is>
          <t>21.06.2025</t>
        </is>
      </c>
      <c r="D53" s="85" t="inlineStr">
        <is>
          <t>Rauschenbach</t>
        </is>
      </c>
      <c r="E53" s="85" t="inlineStr">
        <is>
          <t>Susanne</t>
        </is>
      </c>
      <c r="F53" s="92" t="n"/>
      <c r="G53" s="84" t="inlineStr">
        <is>
          <t>16.09.1961</t>
        </is>
      </c>
      <c r="H53" s="92" t="n"/>
      <c r="I53" s="92" t="n"/>
      <c r="J53" s="85" t="inlineStr">
        <is>
          <t>AUT</t>
        </is>
      </c>
      <c r="K53" s="85" t="inlineStr">
        <is>
          <t>AT, Wien</t>
        </is>
      </c>
      <c r="L53" s="85" t="inlineStr">
        <is>
          <t>U1608632</t>
        </is>
      </c>
      <c r="M53" s="92" t="inlineStr"/>
      <c r="N53" s="92" t="n">
        <v>10</v>
      </c>
      <c r="O53" s="92" t="n"/>
      <c r="P53" s="92" t="n"/>
    </row>
    <row r="54" ht="12.75" customHeight="1" s="48">
      <c r="A54" s="92" t="n"/>
      <c r="B54" s="84" t="inlineStr">
        <is>
          <t>20.06.2025</t>
        </is>
      </c>
      <c r="C54" s="84" t="inlineStr">
        <is>
          <t>21.06.2025</t>
        </is>
      </c>
      <c r="D54" s="85" t="inlineStr">
        <is>
          <t>Brych</t>
        </is>
      </c>
      <c r="E54" s="85" t="inlineStr">
        <is>
          <t>Sieglinde</t>
        </is>
      </c>
      <c r="F54" s="92" t="n"/>
      <c r="G54" s="84" t="inlineStr">
        <is>
          <t>18.03.1948</t>
        </is>
      </c>
      <c r="H54" s="92" t="n"/>
      <c r="I54" s="92" t="n"/>
      <c r="J54" s="85" t="inlineStr">
        <is>
          <t>AUT</t>
        </is>
      </c>
      <c r="K54" s="85" t="inlineStr">
        <is>
          <t>AT, Wien</t>
        </is>
      </c>
      <c r="L54" s="85" t="inlineStr">
        <is>
          <t>U1380566</t>
        </is>
      </c>
      <c r="M54" s="92" t="inlineStr"/>
      <c r="N54" s="92" t="n">
        <v>10</v>
      </c>
      <c r="O54" s="92" t="n"/>
      <c r="P54" s="92" t="n"/>
    </row>
    <row r="55" ht="12.75" customHeight="1" s="48">
      <c r="A55" s="92" t="n"/>
      <c r="B55" s="84" t="inlineStr">
        <is>
          <t>20.06.2025</t>
        </is>
      </c>
      <c r="C55" s="84" t="inlineStr">
        <is>
          <t>21.06.2025</t>
        </is>
      </c>
      <c r="D55" s="85" t="inlineStr">
        <is>
          <t>Pongrac</t>
        </is>
      </c>
      <c r="E55" s="85" t="inlineStr">
        <is>
          <t>Christa</t>
        </is>
      </c>
      <c r="F55" s="92" t="n"/>
      <c r="G55" s="84" t="inlineStr">
        <is>
          <t>01.04.1949</t>
        </is>
      </c>
      <c r="H55" s="92" t="n"/>
      <c r="I55" s="92" t="n"/>
      <c r="J55" s="85" t="inlineStr">
        <is>
          <t>AUT</t>
        </is>
      </c>
      <c r="K55" s="85" t="inlineStr">
        <is>
          <t>AT, Wien</t>
        </is>
      </c>
      <c r="L55" s="85" t="inlineStr">
        <is>
          <t>U3897313</t>
        </is>
      </c>
      <c r="M55" s="92" t="inlineStr"/>
      <c r="N55" s="92" t="n">
        <v>10</v>
      </c>
      <c r="O55" s="92" t="n"/>
      <c r="P55" s="92" t="n"/>
    </row>
    <row r="56" ht="12.75" customHeight="1" s="48">
      <c r="A56" s="92" t="n"/>
      <c r="B56" s="84" t="inlineStr">
        <is>
          <t>20.06.2025</t>
        </is>
      </c>
      <c r="C56" s="84" t="inlineStr">
        <is>
          <t>21.06.2025</t>
        </is>
      </c>
      <c r="D56" s="85" t="inlineStr">
        <is>
          <t>Kokalj</t>
        </is>
      </c>
      <c r="E56" s="85" t="inlineStr">
        <is>
          <t>Elisabeth</t>
        </is>
      </c>
      <c r="F56" s="92" t="n"/>
      <c r="G56" s="84" t="inlineStr">
        <is>
          <t>11.11.1968</t>
        </is>
      </c>
      <c r="H56" s="92" t="n"/>
      <c r="I56" s="92" t="n"/>
      <c r="J56" s="85" t="inlineStr">
        <is>
          <t>AUT</t>
        </is>
      </c>
      <c r="K56" s="85" t="inlineStr">
        <is>
          <t>AT, Wien</t>
        </is>
      </c>
      <c r="L56" s="85" t="inlineStr">
        <is>
          <t>U4503989</t>
        </is>
      </c>
      <c r="M56" s="92" t="inlineStr"/>
      <c r="N56" s="92" t="n">
        <v>10</v>
      </c>
      <c r="O56" s="92" t="n"/>
      <c r="P56" s="92" t="n"/>
    </row>
    <row r="57" ht="12.75" customHeight="1" s="48">
      <c r="A57" s="92" t="n"/>
      <c r="B57" s="84" t="inlineStr">
        <is>
          <t>20.06.2025</t>
        </is>
      </c>
      <c r="C57" s="84" t="inlineStr">
        <is>
          <t>26.06.2025</t>
        </is>
      </c>
      <c r="D57" s="85" t="inlineStr">
        <is>
          <t>Opperman</t>
        </is>
      </c>
      <c r="E57" s="85" t="inlineStr">
        <is>
          <t>Diederick Johannes</t>
        </is>
      </c>
      <c r="F57" s="92" t="n"/>
      <c r="G57" s="84" t="inlineStr">
        <is>
          <t>24.07.1996</t>
        </is>
      </c>
      <c r="H57" s="92" t="n"/>
      <c r="I57" s="92" t="n"/>
      <c r="J57" s="85" t="inlineStr">
        <is>
          <t>ZAF</t>
        </is>
      </c>
      <c r="K57" s="85" t="inlineStr">
        <is>
          <t>ZA DOPLNIT!!!</t>
        </is>
      </c>
      <c r="L57" s="85" t="inlineStr">
        <is>
          <t>A06236723</t>
        </is>
      </c>
      <c r="M57" s="92" t="n">
        <v>901660068</v>
      </c>
      <c r="N57" s="92" t="n">
        <v>10</v>
      </c>
      <c r="O57" s="92" t="n"/>
      <c r="P57" s="92" t="n"/>
    </row>
    <row r="58" ht="12.75" customHeight="1" s="48">
      <c r="A58" s="92" t="n"/>
      <c r="B58" s="84" t="inlineStr">
        <is>
          <t>20.06.2025</t>
        </is>
      </c>
      <c r="C58" s="84" t="inlineStr">
        <is>
          <t>26.06.2025</t>
        </is>
      </c>
      <c r="D58" s="85" t="inlineStr">
        <is>
          <t>Almalki</t>
        </is>
      </c>
      <c r="E58" s="85" t="inlineStr">
        <is>
          <t>Reem Hussain</t>
        </is>
      </c>
      <c r="F58" s="92" t="n"/>
      <c r="G58" s="84" t="inlineStr">
        <is>
          <t>11.04.1991</t>
        </is>
      </c>
      <c r="H58" s="92" t="n"/>
      <c r="I58" s="92" t="n"/>
      <c r="J58" s="85" t="inlineStr">
        <is>
          <t>SAU</t>
        </is>
      </c>
      <c r="K58" s="85" t="inlineStr">
        <is>
          <t>SA, Riyadh</t>
        </is>
      </c>
      <c r="L58" s="85" t="inlineStr">
        <is>
          <t>Z802723</t>
        </is>
      </c>
      <c r="M58" s="92" t="n">
        <v>901754159</v>
      </c>
      <c r="N58" s="92" t="n">
        <v>10</v>
      </c>
      <c r="O58" s="92" t="n"/>
      <c r="P58" s="92" t="n"/>
    </row>
    <row r="59" ht="12.75" customHeight="1" s="48">
      <c r="A59" s="92" t="n"/>
      <c r="B59" s="84" t="inlineStr">
        <is>
          <t>20.06.2025</t>
        </is>
      </c>
      <c r="C59" s="84" t="inlineStr">
        <is>
          <t>26.06.2025</t>
        </is>
      </c>
      <c r="D59" s="85" t="inlineStr">
        <is>
          <t>Almalki</t>
        </is>
      </c>
      <c r="E59" s="85" t="inlineStr">
        <is>
          <t>Hussain Ghormallah</t>
        </is>
      </c>
      <c r="F59" s="92" t="n"/>
      <c r="G59" s="84" t="inlineStr">
        <is>
          <t>10.01.1959</t>
        </is>
      </c>
      <c r="H59" s="92" t="n"/>
      <c r="I59" s="92" t="n"/>
      <c r="J59" s="85" t="inlineStr">
        <is>
          <t>SAU</t>
        </is>
      </c>
      <c r="K59" s="85" t="inlineStr">
        <is>
          <t>SA, Riyadh</t>
        </is>
      </c>
      <c r="L59" s="85" t="inlineStr">
        <is>
          <t>BA39198</t>
        </is>
      </c>
      <c r="M59" s="85" t="n">
        <v>901755382</v>
      </c>
      <c r="N59" s="92" t="n">
        <v>10</v>
      </c>
      <c r="O59" s="92" t="n"/>
      <c r="P59" s="92" t="n"/>
    </row>
    <row r="60" ht="12.75" customHeight="1" s="48">
      <c r="A60" s="92" t="n"/>
      <c r="B60" s="84" t="inlineStr">
        <is>
          <t>20.06.2025</t>
        </is>
      </c>
      <c r="C60" s="84" t="inlineStr">
        <is>
          <t>26.06.2025</t>
        </is>
      </c>
      <c r="D60" s="85" t="inlineStr">
        <is>
          <t>Colnaghi Simionato</t>
        </is>
      </c>
      <c r="E60" s="85" t="inlineStr">
        <is>
          <t>Ana Valeria</t>
        </is>
      </c>
      <c r="F60" s="92" t="n"/>
      <c r="G60" s="84" t="inlineStr">
        <is>
          <t>06.05.1974</t>
        </is>
      </c>
      <c r="H60" s="92" t="n"/>
      <c r="I60" s="92" t="n"/>
      <c r="J60" s="85" t="inlineStr">
        <is>
          <t>BRA</t>
        </is>
      </c>
      <c r="K60" s="85" t="inlineStr">
        <is>
          <t>BR, Al.Das Caviunas 337, Santana-De-Parnaiba</t>
        </is>
      </c>
      <c r="L60" s="85" t="inlineStr">
        <is>
          <t>GD317973</t>
        </is>
      </c>
      <c r="M60" s="85" t="inlineStr"/>
      <c r="N60" s="92" t="n">
        <v>10</v>
      </c>
      <c r="O60" s="92" t="n"/>
      <c r="P60" s="92" t="n"/>
    </row>
    <row r="61" ht="12.75" customHeight="1" s="48">
      <c r="A61" s="92" t="n"/>
      <c r="B61" s="84" t="inlineStr">
        <is>
          <t>20.06.2025</t>
        </is>
      </c>
      <c r="C61" s="84" t="inlineStr">
        <is>
          <t>22.06.2025</t>
        </is>
      </c>
      <c r="D61" s="85" t="inlineStr">
        <is>
          <t>Galic</t>
        </is>
      </c>
      <c r="E61" s="85" t="inlineStr">
        <is>
          <t>Marija</t>
        </is>
      </c>
      <c r="F61" s="92" t="n"/>
      <c r="G61" s="84" t="inlineStr">
        <is>
          <t>25.09.1978</t>
        </is>
      </c>
      <c r="H61" s="92" t="n"/>
      <c r="I61" s="92" t="n"/>
      <c r="J61" s="85" t="inlineStr">
        <is>
          <t>HRV</t>
        </is>
      </c>
      <c r="K61" s="85" t="inlineStr">
        <is>
          <t>HR DOPLNIT!!!</t>
        </is>
      </c>
      <c r="L61" s="85" t="inlineStr">
        <is>
          <t>118420666</t>
        </is>
      </c>
      <c r="M61" s="85" t="inlineStr"/>
      <c r="N61" s="92" t="n">
        <v>10</v>
      </c>
      <c r="O61" s="92" t="n"/>
      <c r="P61" s="92" t="n"/>
    </row>
    <row r="62" ht="12.75" customHeight="1" s="48">
      <c r="A62" s="92" t="n"/>
      <c r="B62" s="84" t="inlineStr">
        <is>
          <t>20.06.2025</t>
        </is>
      </c>
      <c r="C62" s="84" t="inlineStr">
        <is>
          <t>26.06.2025</t>
        </is>
      </c>
      <c r="D62" s="85" t="inlineStr">
        <is>
          <t>Kulinski</t>
        </is>
      </c>
      <c r="E62" s="85" t="inlineStr">
        <is>
          <t>Michal Andrzej</t>
        </is>
      </c>
      <c r="F62" s="92" t="n"/>
      <c r="G62" s="84" t="inlineStr">
        <is>
          <t>01.07.1984</t>
        </is>
      </c>
      <c r="H62" s="92" t="n"/>
      <c r="I62" s="92" t="n"/>
      <c r="J62" s="85" t="inlineStr">
        <is>
          <t>POL</t>
        </is>
      </c>
      <c r="K62" s="85" t="inlineStr">
        <is>
          <t>PL, Krakow</t>
        </is>
      </c>
      <c r="L62" s="85" t="inlineStr">
        <is>
          <t>ET2745102</t>
        </is>
      </c>
      <c r="M62" s="92" t="inlineStr"/>
      <c r="N62" s="92" t="n">
        <v>10</v>
      </c>
      <c r="O62" s="92" t="n"/>
      <c r="P62" s="92" t="n"/>
    </row>
    <row r="63" ht="12.75" customHeight="1" s="48">
      <c r="A63" s="92" t="n"/>
      <c r="B63" s="84" t="inlineStr">
        <is>
          <t>20.06.2025</t>
        </is>
      </c>
      <c r="C63" s="84" t="inlineStr">
        <is>
          <t>21.06.2025</t>
        </is>
      </c>
      <c r="D63" s="85" t="inlineStr">
        <is>
          <t>De Ridder</t>
        </is>
      </c>
      <c r="E63" s="85" t="inlineStr">
        <is>
          <t>Ruben Jandrik</t>
        </is>
      </c>
      <c r="F63" s="92" t="n"/>
      <c r="G63" s="84" t="inlineStr">
        <is>
          <t>24.02.2000</t>
        </is>
      </c>
      <c r="H63" s="92" t="n"/>
      <c r="I63" s="92" t="n"/>
      <c r="J63" s="85" t="inlineStr">
        <is>
          <t>NLD</t>
        </is>
      </c>
      <c r="K63" s="85" t="inlineStr">
        <is>
          <t>NL, Amersfoort</t>
        </is>
      </c>
      <c r="L63" s="85" t="inlineStr">
        <is>
          <t>NU7F5J117</t>
        </is>
      </c>
      <c r="M63" s="92" t="inlineStr"/>
      <c r="N63" s="92" t="n">
        <v>10</v>
      </c>
      <c r="O63" s="92" t="n"/>
      <c r="P63" s="92" t="n"/>
    </row>
    <row r="64" ht="12.75" customHeight="1" s="48">
      <c r="A64" s="92" t="n"/>
      <c r="B64" s="84" t="inlineStr">
        <is>
          <t>20.06.2025</t>
        </is>
      </c>
      <c r="C64" s="84" t="inlineStr">
        <is>
          <t>23.06.2025</t>
        </is>
      </c>
      <c r="D64" s="85" t="inlineStr">
        <is>
          <t>He</t>
        </is>
      </c>
      <c r="E64" s="85" t="inlineStr">
        <is>
          <t>Kai</t>
        </is>
      </c>
      <c r="F64" s="92" t="n"/>
      <c r="G64" s="84" t="inlineStr">
        <is>
          <t>18.01.1983</t>
        </is>
      </c>
      <c r="H64" s="92" t="n"/>
      <c r="I64" s="92" t="n"/>
      <c r="J64" s="85" t="inlineStr">
        <is>
          <t>CHN</t>
        </is>
      </c>
      <c r="K64" s="85" t="inlineStr">
        <is>
          <t>CN, 8f  Fu Chun Da Sha, 33 310009, Hangzhou</t>
        </is>
      </c>
      <c r="L64" s="85" t="inlineStr">
        <is>
          <t>EK7991979</t>
        </is>
      </c>
      <c r="M64" s="92" t="n">
        <v>69592501</v>
      </c>
      <c r="N64" s="92" t="n">
        <v>10</v>
      </c>
      <c r="O64" s="92" t="n"/>
      <c r="P64" s="92" t="n"/>
    </row>
    <row r="65" ht="12.75" customHeight="1" s="48">
      <c r="A65" s="92" t="n"/>
      <c r="B65" s="84" t="inlineStr">
        <is>
          <t>20.06.2025</t>
        </is>
      </c>
      <c r="C65" s="84" t="inlineStr">
        <is>
          <t>27.06.2025</t>
        </is>
      </c>
      <c r="D65" s="85" t="inlineStr">
        <is>
          <t>Aparicio</t>
        </is>
      </c>
      <c r="E65" s="85" t="inlineStr">
        <is>
          <t>Rodrigo</t>
        </is>
      </c>
      <c r="F65" s="92" t="n"/>
      <c r="G65" s="84" t="inlineStr">
        <is>
          <t>03.05.1984</t>
        </is>
      </c>
      <c r="H65" s="92" t="n"/>
      <c r="I65" s="92" t="n"/>
      <c r="J65" s="85" t="inlineStr">
        <is>
          <t>PER</t>
        </is>
      </c>
      <c r="K65" s="85" t="inlineStr">
        <is>
          <t>DE, Rudolf Diesel St 12a, 65760, Eschborn</t>
        </is>
      </c>
      <c r="L65" s="85" t="inlineStr">
        <is>
          <t>yz83mvhm6</t>
        </is>
      </c>
      <c r="M65" s="92" t="inlineStr"/>
      <c r="N65" s="92" t="n">
        <v>10</v>
      </c>
      <c r="O65" s="92" t="n"/>
      <c r="P65" s="92" t="n"/>
    </row>
    <row r="66" ht="12.75" customHeight="1" s="48">
      <c r="A66" s="92" t="n"/>
      <c r="B66" s="84" t="inlineStr">
        <is>
          <t>20.06.2025</t>
        </is>
      </c>
      <c r="C66" s="84" t="inlineStr">
        <is>
          <t>21.06.2025</t>
        </is>
      </c>
      <c r="D66" s="85" t="inlineStr">
        <is>
          <t>Toth</t>
        </is>
      </c>
      <c r="E66" s="85" t="inlineStr">
        <is>
          <t>Laszlo</t>
        </is>
      </c>
      <c r="F66" s="92" t="n"/>
      <c r="G66" s="84" t="inlineStr">
        <is>
          <t>31.08.1968</t>
        </is>
      </c>
      <c r="H66" s="92" t="n"/>
      <c r="I66" s="92" t="n"/>
      <c r="J66" s="85" t="inlineStr">
        <is>
          <t>HUN</t>
        </is>
      </c>
      <c r="K66" s="85" t="inlineStr">
        <is>
          <t>HU, Mercedes Benz Manufacturing Hungary Kft, 6000, Kecskemet</t>
        </is>
      </c>
      <c r="L66" s="85" t="inlineStr">
        <is>
          <t>479920ME</t>
        </is>
      </c>
      <c r="M66" s="92" t="inlineStr"/>
      <c r="N66" s="92" t="n">
        <v>10</v>
      </c>
      <c r="O66" s="92" t="n"/>
      <c r="P66" s="92" t="n"/>
    </row>
    <row r="67" ht="12.75" customHeight="1" s="48">
      <c r="A67" s="92" t="n"/>
      <c r="B67" s="84" t="inlineStr">
        <is>
          <t>20.06.2025</t>
        </is>
      </c>
      <c r="C67" s="84" t="inlineStr">
        <is>
          <t>21.06.2025</t>
        </is>
      </c>
      <c r="D67" s="85" t="inlineStr">
        <is>
          <t>Macrae</t>
        </is>
      </c>
      <c r="E67" s="85" t="inlineStr">
        <is>
          <t>James</t>
        </is>
      </c>
      <c r="F67" s="92" t="n"/>
      <c r="G67" s="84" t="inlineStr">
        <is>
          <t>12.05.1979</t>
        </is>
      </c>
      <c r="H67" s="92" t="n"/>
      <c r="I67" s="92" t="n"/>
      <c r="J67" s="85" t="inlineStr">
        <is>
          <t>GBR</t>
        </is>
      </c>
      <c r="K67" s="85" t="inlineStr">
        <is>
          <t>GB, 1 Midland Road, NW1 1AT, London</t>
        </is>
      </c>
      <c r="L67" s="85" t="inlineStr">
        <is>
          <t>628041991</t>
        </is>
      </c>
      <c r="M67" s="85" t="inlineStr"/>
      <c r="N67" s="92" t="n">
        <v>10</v>
      </c>
      <c r="O67" s="92" t="n"/>
      <c r="P67" s="92" t="n"/>
    </row>
    <row r="68" ht="12.75" customHeight="1" s="48">
      <c r="A68" s="92" t="n"/>
      <c r="B68" s="84" t="inlineStr">
        <is>
          <t>20.06.2025</t>
        </is>
      </c>
      <c r="C68" s="84" t="inlineStr">
        <is>
          <t>25.06.2025</t>
        </is>
      </c>
      <c r="D68" s="85" t="inlineStr">
        <is>
          <t>Xia</t>
        </is>
      </c>
      <c r="E68" s="85" t="inlineStr">
        <is>
          <t>Jianguo</t>
        </is>
      </c>
      <c r="F68" s="92" t="n"/>
      <c r="G68" s="84" t="inlineStr">
        <is>
          <t>22.03.1977</t>
        </is>
      </c>
      <c r="H68" s="92" t="n"/>
      <c r="I68" s="92" t="n"/>
      <c r="J68" s="85" t="inlineStr">
        <is>
          <t>CAN</t>
        </is>
      </c>
      <c r="K68" s="85" t="inlineStr">
        <is>
          <t>CA, Mcgill University, H9X 3V9, Montreal</t>
        </is>
      </c>
      <c r="L68" s="85" t="inlineStr">
        <is>
          <t>P325102LS</t>
        </is>
      </c>
      <c r="M68" s="92" t="inlineStr"/>
      <c r="N68" s="92" t="n">
        <v>10</v>
      </c>
      <c r="O68" s="92" t="n"/>
      <c r="P68" s="92" t="n"/>
    </row>
    <row r="69" ht="12.75" customHeight="1" s="48">
      <c r="A69" s="92" t="n"/>
      <c r="B69" s="84" t="inlineStr">
        <is>
          <t>20.06.2025</t>
        </is>
      </c>
      <c r="C69" s="84" t="inlineStr">
        <is>
          <t>22.06.2025</t>
        </is>
      </c>
      <c r="D69" s="85" t="inlineStr">
        <is>
          <t>Tinoco</t>
        </is>
      </c>
      <c r="E69" s="85" t="inlineStr">
        <is>
          <t>Alexis</t>
        </is>
      </c>
      <c r="F69" s="92" t="n"/>
      <c r="G69" s="84" t="inlineStr">
        <is>
          <t>22.10.2004</t>
        </is>
      </c>
      <c r="H69" s="92" t="n"/>
      <c r="I69" s="92" t="n"/>
      <c r="J69" s="85" t="inlineStr">
        <is>
          <t>USA</t>
        </is>
      </c>
      <c r="K69" s="85" t="inlineStr">
        <is>
          <t>US, Miami</t>
        </is>
      </c>
      <c r="L69" s="85" t="inlineStr">
        <is>
          <t>153433747</t>
        </is>
      </c>
      <c r="M69" s="92" t="inlineStr"/>
      <c r="N69" s="92" t="n">
        <v>10</v>
      </c>
      <c r="O69" s="92" t="n"/>
      <c r="P69" s="92" t="n"/>
    </row>
    <row r="70" ht="12.75" customHeight="1" s="48">
      <c r="A70" s="92" t="n"/>
      <c r="B70" s="84" t="inlineStr">
        <is>
          <t>20.06.2025</t>
        </is>
      </c>
      <c r="C70" s="84" t="inlineStr">
        <is>
          <t>22.06.2025</t>
        </is>
      </c>
      <c r="D70" s="85" t="inlineStr">
        <is>
          <t>Ramirez</t>
        </is>
      </c>
      <c r="E70" s="85" t="inlineStr">
        <is>
          <t>Oliverio</t>
        </is>
      </c>
      <c r="F70" s="92" t="n"/>
      <c r="G70" s="84" t="inlineStr">
        <is>
          <t>14.04.2004</t>
        </is>
      </c>
      <c r="H70" s="92" t="n"/>
      <c r="I70" s="92" t="n"/>
      <c r="J70" s="85" t="inlineStr">
        <is>
          <t>USA</t>
        </is>
      </c>
      <c r="K70" s="85" t="inlineStr">
        <is>
          <t>US, Houston</t>
        </is>
      </c>
      <c r="L70" s="85" t="inlineStr">
        <is>
          <t>1620230738</t>
        </is>
      </c>
      <c r="M70" s="92" t="inlineStr"/>
      <c r="N70" s="92" t="n">
        <v>10</v>
      </c>
      <c r="O70" s="92" t="n"/>
      <c r="P70" s="92" t="n"/>
    </row>
    <row r="71" ht="12.75" customHeight="1" s="48">
      <c r="A71" s="92" t="n"/>
      <c r="B71" s="84" t="inlineStr">
        <is>
          <t>20.06.2025</t>
        </is>
      </c>
      <c r="C71" s="84" t="inlineStr">
        <is>
          <t>22.06.2025</t>
        </is>
      </c>
      <c r="D71" s="85" t="inlineStr">
        <is>
          <t>Smith</t>
        </is>
      </c>
      <c r="E71" s="85" t="inlineStr">
        <is>
          <t>Steven</t>
        </is>
      </c>
      <c r="F71" s="92" t="n"/>
      <c r="G71" s="84" t="inlineStr">
        <is>
          <t>12.08.1994</t>
        </is>
      </c>
      <c r="H71" s="92" t="n"/>
      <c r="I71" s="92" t="n"/>
      <c r="J71" s="85" t="inlineStr">
        <is>
          <t>USA</t>
        </is>
      </c>
      <c r="K71" s="85" t="inlineStr">
        <is>
          <t>US, Houston</t>
        </is>
      </c>
      <c r="L71" s="85" t="inlineStr">
        <is>
          <t>1622138685</t>
        </is>
      </c>
      <c r="M71" s="92" t="inlineStr"/>
      <c r="N71" s="92" t="n">
        <v>10</v>
      </c>
      <c r="O71" s="92" t="n"/>
      <c r="P71" s="92" t="n"/>
    </row>
    <row r="72" ht="12.75" customHeight="1" s="48">
      <c r="A72" s="92" t="n"/>
      <c r="B72" s="84" t="inlineStr">
        <is>
          <t>20.06.2025</t>
        </is>
      </c>
      <c r="C72" s="84" t="inlineStr">
        <is>
          <t>22.06.2025</t>
        </is>
      </c>
      <c r="D72" s="85" t="inlineStr">
        <is>
          <t>Stinson</t>
        </is>
      </c>
      <c r="E72" s="85" t="inlineStr">
        <is>
          <t>Trenton</t>
        </is>
      </c>
      <c r="F72" s="92" t="n"/>
      <c r="G72" s="84" t="inlineStr">
        <is>
          <t>28.08.2003</t>
        </is>
      </c>
      <c r="H72" s="92" t="n"/>
      <c r="I72" s="92" t="n"/>
      <c r="J72" s="85" t="inlineStr">
        <is>
          <t>USA</t>
        </is>
      </c>
      <c r="K72" s="85" t="inlineStr">
        <is>
          <t>US, Dallas</t>
        </is>
      </c>
      <c r="L72" s="85" t="inlineStr">
        <is>
          <t>1623149664</t>
        </is>
      </c>
      <c r="M72" s="92" t="inlineStr"/>
      <c r="N72" s="92" t="n">
        <v>10</v>
      </c>
      <c r="O72" s="92" t="n"/>
      <c r="P72" s="92" t="n"/>
    </row>
    <row r="73" ht="12.75" customHeight="1" s="48">
      <c r="A73" s="92" t="n"/>
      <c r="B73" s="84" t="inlineStr">
        <is>
          <t>20.06.2025</t>
        </is>
      </c>
      <c r="C73" s="84" t="inlineStr">
        <is>
          <t>22.06.2025</t>
        </is>
      </c>
      <c r="D73" s="85" t="inlineStr">
        <is>
          <t>Ternosky</t>
        </is>
      </c>
      <c r="E73" s="85" t="inlineStr">
        <is>
          <t>Paul</t>
        </is>
      </c>
      <c r="F73" s="92" t="n"/>
      <c r="G73" s="84" t="inlineStr">
        <is>
          <t>06.10.1997</t>
        </is>
      </c>
      <c r="H73" s="92" t="n"/>
      <c r="I73" s="92" t="n"/>
      <c r="J73" s="85" t="inlineStr">
        <is>
          <t>USA</t>
        </is>
      </c>
      <c r="K73" s="85" t="inlineStr">
        <is>
          <t>US, Houston</t>
        </is>
      </c>
      <c r="L73" s="85" t="inlineStr">
        <is>
          <t>1623596857</t>
        </is>
      </c>
      <c r="M73" s="92" t="inlineStr"/>
      <c r="N73" s="92" t="n">
        <v>10</v>
      </c>
      <c r="O73" s="92" t="n"/>
      <c r="P73" s="92" t="n"/>
    </row>
    <row r="74" ht="12.75" customHeight="1" s="48">
      <c r="A74" s="92" t="n"/>
      <c r="B74" s="84" t="inlineStr">
        <is>
          <t>20.06.2025</t>
        </is>
      </c>
      <c r="C74" s="84" t="inlineStr">
        <is>
          <t>22.06.2025</t>
        </is>
      </c>
      <c r="D74" s="85" t="inlineStr">
        <is>
          <t>Abdullahi</t>
        </is>
      </c>
      <c r="E74" s="85" t="inlineStr">
        <is>
          <t>Zakaria</t>
        </is>
      </c>
      <c r="F74" s="92" t="n"/>
      <c r="G74" s="84" t="inlineStr">
        <is>
          <t>01.01.2002</t>
        </is>
      </c>
      <c r="H74" s="92" t="n"/>
      <c r="I74" s="92" t="n"/>
      <c r="J74" s="85" t="inlineStr">
        <is>
          <t>USA</t>
        </is>
      </c>
      <c r="K74" s="85" t="inlineStr">
        <is>
          <t>US, Chicago</t>
        </is>
      </c>
      <c r="L74" s="85" t="inlineStr">
        <is>
          <t>1588461102</t>
        </is>
      </c>
      <c r="M74" s="92" t="inlineStr"/>
      <c r="N74" s="92" t="n">
        <v>10</v>
      </c>
      <c r="O74" s="92" t="n"/>
      <c r="P74" s="92" t="n"/>
    </row>
    <row r="75" ht="12.75" customHeight="1" s="48">
      <c r="A75" s="92" t="n"/>
      <c r="B75" s="84" t="inlineStr">
        <is>
          <t>20.06.2025</t>
        </is>
      </c>
      <c r="C75" s="84" t="inlineStr">
        <is>
          <t>22.06.2025</t>
        </is>
      </c>
      <c r="D75" s="85" t="inlineStr">
        <is>
          <t>Merrell</t>
        </is>
      </c>
      <c r="E75" s="85" t="inlineStr">
        <is>
          <t>Darren</t>
        </is>
      </c>
      <c r="F75" s="92" t="n"/>
      <c r="G75" s="84" t="inlineStr">
        <is>
          <t>09.02.1988</t>
        </is>
      </c>
      <c r="H75" s="92" t="n"/>
      <c r="I75" s="92" t="n"/>
      <c r="J75" s="85" t="inlineStr">
        <is>
          <t>USA</t>
        </is>
      </c>
      <c r="K75" s="85" t="inlineStr">
        <is>
          <t>US, Chicago</t>
        </is>
      </c>
      <c r="L75" s="85" t="inlineStr">
        <is>
          <t>1546166810</t>
        </is>
      </c>
      <c r="M75" s="92" t="inlineStr"/>
      <c r="N75" s="92" t="n">
        <v>10</v>
      </c>
      <c r="O75" s="92" t="n"/>
      <c r="P75" s="92" t="n"/>
    </row>
    <row r="76" ht="12.75" customHeight="1" s="48">
      <c r="A76" s="92" t="n"/>
      <c r="B76" s="84" t="inlineStr">
        <is>
          <t>20.06.2025</t>
        </is>
      </c>
      <c r="C76" s="84" t="inlineStr">
        <is>
          <t>22.06.2025</t>
        </is>
      </c>
      <c r="D76" s="85" t="inlineStr">
        <is>
          <t>Ancion</t>
        </is>
      </c>
      <c r="E76" s="85" t="inlineStr">
        <is>
          <t>Ancion</t>
        </is>
      </c>
      <c r="F76" s="92" t="n"/>
      <c r="G76" s="84" t="inlineStr">
        <is>
          <t>19.03.2004</t>
        </is>
      </c>
      <c r="H76" s="92" t="n"/>
      <c r="I76" s="92" t="n"/>
      <c r="J76" s="85" t="inlineStr">
        <is>
          <t>USA</t>
        </is>
      </c>
      <c r="K76" s="85" t="inlineStr">
        <is>
          <t>US, Miami</t>
        </is>
      </c>
      <c r="L76" s="85" t="inlineStr">
        <is>
          <t>1617210955</t>
        </is>
      </c>
      <c r="M76" s="92" t="inlineStr"/>
      <c r="N76" s="92" t="n">
        <v>10</v>
      </c>
      <c r="O76" s="92" t="n"/>
      <c r="P76" s="92" t="n"/>
    </row>
    <row r="77" ht="12.75" customHeight="1" s="48">
      <c r="A77" s="92" t="n"/>
      <c r="B77" s="84" t="inlineStr">
        <is>
          <t>20.06.2025</t>
        </is>
      </c>
      <c r="C77" s="84" t="inlineStr">
        <is>
          <t>22.06.2025</t>
        </is>
      </c>
      <c r="D77" s="85" t="inlineStr">
        <is>
          <t>Lugo-Nallem</t>
        </is>
      </c>
      <c r="E77" s="85" t="inlineStr">
        <is>
          <t>Stanley</t>
        </is>
      </c>
      <c r="F77" s="92" t="n"/>
      <c r="G77" s="84" t="inlineStr">
        <is>
          <t>11.09.1996</t>
        </is>
      </c>
      <c r="H77" s="92" t="n"/>
      <c r="I77" s="92" t="n"/>
      <c r="J77" s="85" t="inlineStr">
        <is>
          <t>USA</t>
        </is>
      </c>
      <c r="K77" s="85" t="inlineStr">
        <is>
          <t>US, Miami</t>
        </is>
      </c>
      <c r="L77" s="85" t="inlineStr">
        <is>
          <t>1621557781</t>
        </is>
      </c>
      <c r="M77" s="92" t="inlineStr"/>
      <c r="N77" s="92" t="n">
        <v>10</v>
      </c>
      <c r="O77" s="92" t="n"/>
      <c r="P77" s="92" t="n"/>
    </row>
    <row r="78" ht="12.75" customHeight="1" s="48">
      <c r="A78" s="92" t="n"/>
      <c r="B78" s="84" t="inlineStr">
        <is>
          <t>20.06.2025</t>
        </is>
      </c>
      <c r="C78" s="84" t="inlineStr">
        <is>
          <t>22.06.2025</t>
        </is>
      </c>
      <c r="D78" s="85" t="inlineStr">
        <is>
          <t>Dorsten</t>
        </is>
      </c>
      <c r="E78" s="85" t="inlineStr">
        <is>
          <t>Jacob</t>
        </is>
      </c>
      <c r="F78" s="92" t="n"/>
      <c r="G78" s="84" t="inlineStr">
        <is>
          <t>24.04.1997</t>
        </is>
      </c>
      <c r="H78" s="92" t="n"/>
      <c r="I78" s="92" t="n"/>
      <c r="J78" s="85" t="inlineStr">
        <is>
          <t>USA</t>
        </is>
      </c>
      <c r="K78" s="85" t="inlineStr">
        <is>
          <t>US, Houston</t>
        </is>
      </c>
      <c r="L78" s="85" t="inlineStr">
        <is>
          <t>1542676252</t>
        </is>
      </c>
      <c r="M78" s="92" t="inlineStr"/>
      <c r="N78" s="92" t="n">
        <v>10</v>
      </c>
      <c r="O78" s="92" t="n"/>
      <c r="P78" s="92" t="n"/>
    </row>
    <row r="79" ht="12.75" customHeight="1" s="48">
      <c r="A79" s="92" t="n"/>
      <c r="B79" s="84" t="inlineStr">
        <is>
          <t>20.06.2025</t>
        </is>
      </c>
      <c r="C79" s="84" t="inlineStr">
        <is>
          <t>22.06.2025</t>
        </is>
      </c>
      <c r="D79" s="85" t="inlineStr">
        <is>
          <t>Delcid</t>
        </is>
      </c>
      <c r="E79" s="85" t="inlineStr">
        <is>
          <t>Jason</t>
        </is>
      </c>
      <c r="F79" s="92" t="n"/>
      <c r="G79" s="84" t="inlineStr">
        <is>
          <t>07.12.2004</t>
        </is>
      </c>
      <c r="H79" s="92" t="n"/>
      <c r="I79" s="92" t="n"/>
      <c r="J79" s="85" t="inlineStr">
        <is>
          <t>USA</t>
        </is>
      </c>
      <c r="K79" s="85" t="inlineStr">
        <is>
          <t>US, Chicago</t>
        </is>
      </c>
      <c r="L79" s="85" t="inlineStr">
        <is>
          <t>1612046464</t>
        </is>
      </c>
      <c r="M79" s="92" t="inlineStr"/>
      <c r="N79" s="92" t="n">
        <v>10</v>
      </c>
      <c r="O79" s="92" t="n"/>
      <c r="P79" s="92" t="n"/>
    </row>
    <row r="80" ht="12.75" customHeight="1" s="48">
      <c r="A80" s="92" t="n"/>
      <c r="B80" s="84" t="inlineStr">
        <is>
          <t>20.06.2025</t>
        </is>
      </c>
      <c r="C80" s="84" t="inlineStr">
        <is>
          <t>22.06.2025</t>
        </is>
      </c>
      <c r="D80" s="85" t="inlineStr">
        <is>
          <t>Littleton</t>
        </is>
      </c>
      <c r="E80" s="85" t="inlineStr">
        <is>
          <t>Riley</t>
        </is>
      </c>
      <c r="F80" s="92" t="n"/>
      <c r="G80" s="84" t="inlineStr">
        <is>
          <t>24.05.2004</t>
        </is>
      </c>
      <c r="H80" s="92" t="n"/>
      <c r="I80" s="92" t="n"/>
      <c r="J80" s="85" t="inlineStr">
        <is>
          <t>USA</t>
        </is>
      </c>
      <c r="K80" s="85" t="inlineStr">
        <is>
          <t>US, Miami</t>
        </is>
      </c>
      <c r="L80" s="85" t="inlineStr">
        <is>
          <t>1629882533</t>
        </is>
      </c>
      <c r="M80" s="92" t="inlineStr"/>
      <c r="N80" s="92" t="n">
        <v>10</v>
      </c>
      <c r="O80" s="92" t="n"/>
      <c r="P80" s="92" t="n"/>
    </row>
    <row r="81" ht="12.75" customHeight="1" s="48">
      <c r="A81" s="92" t="n"/>
      <c r="B81" s="84" t="inlineStr">
        <is>
          <t>20.06.2025</t>
        </is>
      </c>
      <c r="C81" s="84" t="inlineStr">
        <is>
          <t>22.06.2025</t>
        </is>
      </c>
      <c r="D81" s="85" t="inlineStr">
        <is>
          <t>Miller</t>
        </is>
      </c>
      <c r="E81" s="85" t="inlineStr">
        <is>
          <t>Gilbert</t>
        </is>
      </c>
      <c r="F81" s="92" t="n"/>
      <c r="G81" s="84" t="inlineStr">
        <is>
          <t>08.03.2005</t>
        </is>
      </c>
      <c r="H81" s="92" t="n"/>
      <c r="I81" s="92" t="n"/>
      <c r="J81" s="85" t="inlineStr">
        <is>
          <t>USA</t>
        </is>
      </c>
      <c r="K81" s="85" t="inlineStr">
        <is>
          <t>US, Dallas</t>
        </is>
      </c>
      <c r="L81" s="85" t="inlineStr">
        <is>
          <t>1613473110</t>
        </is>
      </c>
      <c r="M81" s="92" t="inlineStr"/>
      <c r="N81" s="92" t="n">
        <v>10</v>
      </c>
      <c r="O81" s="92" t="n"/>
      <c r="P81" s="92" t="n"/>
    </row>
    <row r="82" ht="12.75" customHeight="1" s="48">
      <c r="A82" s="92" t="n"/>
      <c r="B82" s="84" t="inlineStr">
        <is>
          <t>20.06.2025</t>
        </is>
      </c>
      <c r="C82" s="84" t="inlineStr">
        <is>
          <t>22.06.2025</t>
        </is>
      </c>
      <c r="D82" s="85" t="inlineStr">
        <is>
          <t>Brooks</t>
        </is>
      </c>
      <c r="E82" s="85" t="inlineStr">
        <is>
          <t>Jamari</t>
        </is>
      </c>
      <c r="F82" s="92" t="n"/>
      <c r="G82" s="84" t="inlineStr">
        <is>
          <t>30.08.2005</t>
        </is>
      </c>
      <c r="H82" s="92" t="n"/>
      <c r="I82" s="92" t="n"/>
      <c r="J82" s="85" t="inlineStr">
        <is>
          <t>USA</t>
        </is>
      </c>
      <c r="K82" s="85" t="inlineStr">
        <is>
          <t>US, Austin</t>
        </is>
      </c>
      <c r="L82" s="85" t="inlineStr">
        <is>
          <t>1630435150</t>
        </is>
      </c>
      <c r="M82" s="92" t="inlineStr"/>
      <c r="N82" s="92" t="n">
        <v>10</v>
      </c>
      <c r="O82" s="92" t="n"/>
      <c r="P82" s="92" t="n"/>
    </row>
    <row r="83" ht="12.75" customHeight="1" s="48">
      <c r="A83" s="92" t="n"/>
      <c r="B83" s="84" t="inlineStr">
        <is>
          <t>20.06.2025</t>
        </is>
      </c>
      <c r="C83" s="84" t="inlineStr">
        <is>
          <t>22.06.2025</t>
        </is>
      </c>
      <c r="D83" s="85" t="inlineStr">
        <is>
          <t>Scarborough</t>
        </is>
      </c>
      <c r="E83" s="85" t="inlineStr">
        <is>
          <t>John</t>
        </is>
      </c>
      <c r="F83" s="92" t="n"/>
      <c r="G83" s="84" t="inlineStr">
        <is>
          <t>28.05.1993</t>
        </is>
      </c>
      <c r="H83" s="92" t="n"/>
      <c r="I83" s="92" t="n"/>
      <c r="J83" s="85" t="inlineStr">
        <is>
          <t>USA</t>
        </is>
      </c>
      <c r="K83" s="85" t="inlineStr">
        <is>
          <t>US, Miami</t>
        </is>
      </c>
      <c r="L83" s="85" t="inlineStr">
        <is>
          <t>1527388267</t>
        </is>
      </c>
      <c r="M83" s="92" t="inlineStr"/>
      <c r="N83" s="92" t="n">
        <v>10</v>
      </c>
      <c r="O83" s="92" t="n"/>
      <c r="P83" s="92" t="n"/>
    </row>
    <row r="84" ht="12.75" customHeight="1" s="48">
      <c r="A84" s="92" t="n"/>
      <c r="B84" s="84" t="inlineStr">
        <is>
          <t>20.06.2025</t>
        </is>
      </c>
      <c r="C84" s="84" t="inlineStr">
        <is>
          <t>22.06.2025</t>
        </is>
      </c>
      <c r="D84" s="85" t="inlineStr">
        <is>
          <t>Mahan</t>
        </is>
      </c>
      <c r="E84" s="85" t="inlineStr">
        <is>
          <t>Devin</t>
        </is>
      </c>
      <c r="F84" s="92" t="n"/>
      <c r="G84" s="84" t="inlineStr">
        <is>
          <t>25.07.2003</t>
        </is>
      </c>
      <c r="H84" s="92" t="n"/>
      <c r="I84" s="92" t="n"/>
      <c r="J84" s="85" t="inlineStr">
        <is>
          <t>USA</t>
        </is>
      </c>
      <c r="K84" s="85" t="inlineStr">
        <is>
          <t>US, California</t>
        </is>
      </c>
      <c r="L84" s="85" t="inlineStr">
        <is>
          <t>1616823368</t>
        </is>
      </c>
      <c r="M84" s="92" t="inlineStr"/>
      <c r="N84" s="92" t="n">
        <v>10</v>
      </c>
      <c r="O84" s="92" t="n"/>
      <c r="P84" s="92" t="n"/>
    </row>
    <row r="85" ht="12.75" customHeight="1" s="48">
      <c r="A85" s="92" t="n"/>
      <c r="B85" s="84" t="inlineStr">
        <is>
          <t>20.06.2025</t>
        </is>
      </c>
      <c r="C85" s="84" t="inlineStr">
        <is>
          <t>22.06.2025</t>
        </is>
      </c>
      <c r="D85" s="85" t="inlineStr">
        <is>
          <t>Mann</t>
        </is>
      </c>
      <c r="E85" s="85" t="inlineStr">
        <is>
          <t>Cannan</t>
        </is>
      </c>
      <c r="F85" s="92" t="n"/>
      <c r="G85" s="84" t="inlineStr">
        <is>
          <t>30.07.2002</t>
        </is>
      </c>
      <c r="H85" s="92" t="n"/>
      <c r="I85" s="92" t="n"/>
      <c r="J85" s="85" t="inlineStr">
        <is>
          <t>USA</t>
        </is>
      </c>
      <c r="K85" s="85" t="inlineStr">
        <is>
          <t>US, Houston</t>
        </is>
      </c>
      <c r="L85" s="85" t="inlineStr">
        <is>
          <t>1586747955</t>
        </is>
      </c>
      <c r="M85" s="92" t="inlineStr"/>
      <c r="N85" s="92" t="n">
        <v>10</v>
      </c>
      <c r="O85" s="92" t="n"/>
      <c r="P85" s="92" t="n"/>
    </row>
    <row r="86" ht="12.75" customHeight="1" s="48">
      <c r="A86" s="92" t="n"/>
      <c r="B86" s="84" t="inlineStr">
        <is>
          <t>20.06.2025</t>
        </is>
      </c>
      <c r="C86" s="84" t="inlineStr">
        <is>
          <t>26.06.2025</t>
        </is>
      </c>
      <c r="D86" s="85" t="inlineStr">
        <is>
          <t>Goodacre</t>
        </is>
      </c>
      <c r="E86" s="85" t="inlineStr">
        <is>
          <t>Elizabeth Anne</t>
        </is>
      </c>
      <c r="F86" s="92" t="n"/>
      <c r="G86" s="84" t="inlineStr">
        <is>
          <t>07.02.1955</t>
        </is>
      </c>
      <c r="H86" s="92" t="n"/>
      <c r="I86" s="92" t="n"/>
      <c r="J86" s="85" t="inlineStr">
        <is>
          <t>GBR</t>
        </is>
      </c>
      <c r="K86" s="85" t="inlineStr">
        <is>
          <t>GB, Liverpool</t>
        </is>
      </c>
      <c r="L86" s="85" t="inlineStr">
        <is>
          <t>126369472</t>
        </is>
      </c>
      <c r="M86" s="92" t="inlineStr"/>
      <c r="N86" s="92" t="n">
        <v>10</v>
      </c>
      <c r="O86" s="92" t="n"/>
      <c r="P86" s="92" t="n"/>
    </row>
    <row r="87" ht="12.75" customHeight="1" s="48">
      <c r="A87" s="92" t="n"/>
      <c r="B87" s="84" t="inlineStr">
        <is>
          <t>20.06.2025</t>
        </is>
      </c>
      <c r="C87" s="84" t="inlineStr">
        <is>
          <t>26.06.2025</t>
        </is>
      </c>
      <c r="D87" s="85" t="inlineStr">
        <is>
          <t>Baker</t>
        </is>
      </c>
      <c r="E87" s="85" t="inlineStr">
        <is>
          <t>Valerie M</t>
        </is>
      </c>
      <c r="F87" s="92" t="n"/>
      <c r="G87" s="84" t="inlineStr">
        <is>
          <t>18.08.1953</t>
        </is>
      </c>
      <c r="H87" s="92" t="n"/>
      <c r="I87" s="92" t="n"/>
      <c r="J87" s="85" t="inlineStr">
        <is>
          <t>USA</t>
        </is>
      </c>
      <c r="K87" s="85" t="inlineStr">
        <is>
          <t>US, California</t>
        </is>
      </c>
      <c r="L87" s="85" t="inlineStr">
        <is>
          <t>A00133387</t>
        </is>
      </c>
      <c r="M87" s="92" t="inlineStr"/>
      <c r="N87" s="92" t="n">
        <v>10</v>
      </c>
      <c r="O87" s="92" t="n"/>
      <c r="P87" s="92" t="n"/>
    </row>
    <row r="88" ht="12.75" customHeight="1" s="48">
      <c r="A88" s="92" t="n"/>
      <c r="B88" s="84" t="inlineStr">
        <is>
          <t>20.06.2025</t>
        </is>
      </c>
      <c r="C88" s="84" t="inlineStr">
        <is>
          <t>26.06.2025</t>
        </is>
      </c>
      <c r="D88" s="85" t="inlineStr">
        <is>
          <t>Sanders</t>
        </is>
      </c>
      <c r="E88" s="85" t="inlineStr">
        <is>
          <t>Claire Eberlin</t>
        </is>
      </c>
      <c r="F88" s="92" t="n"/>
      <c r="G88" s="84" t="inlineStr">
        <is>
          <t>24.11.2015</t>
        </is>
      </c>
      <c r="H88" s="92" t="n"/>
      <c r="I88" s="92" t="n"/>
      <c r="J88" s="85" t="inlineStr">
        <is>
          <t>USA</t>
        </is>
      </c>
      <c r="K88" s="85" t="inlineStr">
        <is>
          <t>US, Miami</t>
        </is>
      </c>
      <c r="L88" s="85" t="inlineStr">
        <is>
          <t>683340964</t>
        </is>
      </c>
      <c r="M88" s="92" t="inlineStr"/>
      <c r="N88" s="92" t="n">
        <v>10</v>
      </c>
      <c r="O88" s="92" t="n"/>
      <c r="P88" s="92" t="n"/>
    </row>
    <row r="89" ht="12.75" customHeight="1" s="48">
      <c r="A89" s="92" t="n"/>
      <c r="B89" s="84" t="inlineStr">
        <is>
          <t>20.06.2025</t>
        </is>
      </c>
      <c r="C89" s="84" t="inlineStr">
        <is>
          <t>26.06.2025</t>
        </is>
      </c>
      <c r="D89" s="85" t="inlineStr">
        <is>
          <t>Sanders</t>
        </is>
      </c>
      <c r="E89" s="85" t="inlineStr">
        <is>
          <t>Leah Eberlin</t>
        </is>
      </c>
      <c r="F89" s="92" t="n"/>
      <c r="G89" s="84" t="inlineStr">
        <is>
          <t>23.04.2014</t>
        </is>
      </c>
      <c r="H89" s="92" t="n"/>
      <c r="I89" s="92" t="n"/>
      <c r="J89" s="85" t="inlineStr">
        <is>
          <t>USA</t>
        </is>
      </c>
      <c r="K89" s="85" t="inlineStr">
        <is>
          <t>US, Miami</t>
        </is>
      </c>
      <c r="L89" s="85" t="inlineStr">
        <is>
          <t>A59633245</t>
        </is>
      </c>
      <c r="M89" s="92" t="inlineStr"/>
      <c r="N89" s="92" t="n">
        <v>10</v>
      </c>
      <c r="O89" s="92" t="n"/>
      <c r="P89" s="92" t="n"/>
    </row>
    <row r="90" ht="12.75" customHeight="1" s="48">
      <c r="A90" s="92" t="n"/>
      <c r="B90" s="84" t="inlineStr">
        <is>
          <t>20.06.2025</t>
        </is>
      </c>
      <c r="C90" s="84" t="inlineStr">
        <is>
          <t>22.06.2025</t>
        </is>
      </c>
      <c r="D90" s="85" t="inlineStr">
        <is>
          <t>Hembree</t>
        </is>
      </c>
      <c r="E90" s="85" t="inlineStr">
        <is>
          <t>Shaun Robert</t>
        </is>
      </c>
      <c r="F90" s="92" t="n"/>
      <c r="G90" s="84" t="inlineStr">
        <is>
          <t>21.08.1985</t>
        </is>
      </c>
      <c r="H90" s="92" t="n"/>
      <c r="I90" s="92" t="n"/>
      <c r="J90" s="85" t="inlineStr">
        <is>
          <t>USA</t>
        </is>
      </c>
      <c r="K90" s="85" t="inlineStr">
        <is>
          <t>US, Austin</t>
        </is>
      </c>
      <c r="L90" s="85" t="inlineStr">
        <is>
          <t>652006909</t>
        </is>
      </c>
      <c r="M90" s="92" t="inlineStr"/>
      <c r="N90" s="92" t="n">
        <v>10</v>
      </c>
      <c r="O90" s="92" t="n"/>
      <c r="P90" s="92" t="n"/>
    </row>
    <row r="91" ht="12.75" customHeight="1" s="48">
      <c r="A91" s="92" t="n"/>
      <c r="B91" s="84" t="inlineStr">
        <is>
          <t>20.06.2025</t>
        </is>
      </c>
      <c r="C91" s="84" t="inlineStr">
        <is>
          <t>22.06.2025</t>
        </is>
      </c>
      <c r="D91" s="85" t="inlineStr">
        <is>
          <t>Chang</t>
        </is>
      </c>
      <c r="E91" s="85" t="inlineStr">
        <is>
          <t>Kyle Yong</t>
        </is>
      </c>
      <c r="F91" s="92" t="n"/>
      <c r="G91" s="84" t="inlineStr">
        <is>
          <t>12.08.2004</t>
        </is>
      </c>
      <c r="H91" s="92" t="n"/>
      <c r="I91" s="92" t="n"/>
      <c r="J91" s="85" t="inlineStr">
        <is>
          <t>USA</t>
        </is>
      </c>
      <c r="K91" s="85" t="inlineStr">
        <is>
          <t>US, Dallas</t>
        </is>
      </c>
      <c r="L91" s="85" t="inlineStr">
        <is>
          <t>A12684600</t>
        </is>
      </c>
      <c r="M91" s="92" t="inlineStr"/>
      <c r="N91" s="92" t="n">
        <v>10</v>
      </c>
      <c r="O91" s="92" t="n"/>
      <c r="P91" s="92" t="n"/>
    </row>
    <row r="92" ht="12.75" customHeight="1" s="48">
      <c r="A92" s="92" t="n"/>
      <c r="B92" s="84" t="inlineStr">
        <is>
          <t>20.06.2025</t>
        </is>
      </c>
      <c r="C92" s="84" t="inlineStr">
        <is>
          <t>22.06.2025</t>
        </is>
      </c>
      <c r="D92" s="85" t="inlineStr">
        <is>
          <t>Hicks</t>
        </is>
      </c>
      <c r="E92" s="85" t="inlineStr">
        <is>
          <t>Devonte Orion</t>
        </is>
      </c>
      <c r="F92" s="92" t="n"/>
      <c r="G92" s="84" t="inlineStr">
        <is>
          <t>15.10.2004</t>
        </is>
      </c>
      <c r="H92" s="92" t="n"/>
      <c r="I92" s="92" t="n"/>
      <c r="J92" s="85" t="inlineStr">
        <is>
          <t>USA</t>
        </is>
      </c>
      <c r="K92" s="85" t="inlineStr">
        <is>
          <t>US, Chicago</t>
        </is>
      </c>
      <c r="L92" s="85" t="inlineStr">
        <is>
          <t>A36520583</t>
        </is>
      </c>
      <c r="M92" s="92" t="inlineStr"/>
      <c r="N92" s="92" t="n">
        <v>10</v>
      </c>
      <c r="O92" s="92" t="n"/>
      <c r="P92" s="92" t="n"/>
    </row>
    <row r="93" ht="12.75" customHeight="1" s="48">
      <c r="A93" s="92" t="n"/>
      <c r="B93" s="84" t="inlineStr">
        <is>
          <t>20.06.2025</t>
        </is>
      </c>
      <c r="C93" s="84" t="inlineStr">
        <is>
          <t>22.06.2025</t>
        </is>
      </c>
      <c r="D93" s="85" t="inlineStr">
        <is>
          <t>Lewandowski</t>
        </is>
      </c>
      <c r="E93" s="85" t="inlineStr">
        <is>
          <t>Slawomir</t>
        </is>
      </c>
      <c r="F93" s="92" t="n"/>
      <c r="G93" s="84" t="inlineStr">
        <is>
          <t>09.03.1978</t>
        </is>
      </c>
      <c r="H93" s="92" t="n"/>
      <c r="I93" s="92" t="n"/>
      <c r="J93" s="85" t="inlineStr">
        <is>
          <t>POL</t>
        </is>
      </c>
      <c r="K93" s="85" t="inlineStr">
        <is>
          <t>PL, Warsaw</t>
        </is>
      </c>
      <c r="L93" s="85" t="inlineStr">
        <is>
          <t>DBD403268</t>
        </is>
      </c>
      <c r="M93" s="92" t="inlineStr"/>
      <c r="N93" s="92" t="n">
        <v>10</v>
      </c>
      <c r="O93" s="92" t="n"/>
      <c r="P93" s="92" t="n"/>
    </row>
    <row r="94" ht="12.75" customHeight="1" s="48">
      <c r="A94" s="92" t="n"/>
      <c r="B94" s="84" t="inlineStr">
        <is>
          <t>20.06.2025</t>
        </is>
      </c>
      <c r="C94" s="84" t="inlineStr">
        <is>
          <t>22.06.2025</t>
        </is>
      </c>
      <c r="D94" s="85" t="inlineStr">
        <is>
          <t>Bodhorn</t>
        </is>
      </c>
      <c r="E94" s="85" t="inlineStr">
        <is>
          <t>Martina</t>
        </is>
      </c>
      <c r="F94" s="92" t="n"/>
      <c r="G94" s="84" t="inlineStr">
        <is>
          <t>25.01.1976</t>
        </is>
      </c>
      <c r="H94" s="92" t="n"/>
      <c r="I94" s="92" t="n"/>
      <c r="J94" s="85" t="inlineStr">
        <is>
          <t>AUT</t>
        </is>
      </c>
      <c r="K94" s="85" t="inlineStr">
        <is>
          <t>AT, Vienna</t>
        </is>
      </c>
      <c r="L94" s="85" t="inlineStr">
        <is>
          <t>U3412574</t>
        </is>
      </c>
      <c r="M94" s="92" t="inlineStr"/>
      <c r="N94" s="92" t="n">
        <v>10</v>
      </c>
      <c r="O94" s="92" t="n"/>
      <c r="P94" s="92" t="n"/>
    </row>
    <row r="95" ht="12.75" customHeight="1" s="48">
      <c r="A95" s="92" t="n"/>
      <c r="B95" s="84" t="inlineStr">
        <is>
          <t>20.06.2025</t>
        </is>
      </c>
      <c r="C95" s="84" t="inlineStr">
        <is>
          <t>26.06.2025</t>
        </is>
      </c>
      <c r="D95" s="85" t="inlineStr">
        <is>
          <t>Fahy</t>
        </is>
      </c>
      <c r="E95" s="85" t="inlineStr">
        <is>
          <t>Therese Ann</t>
        </is>
      </c>
      <c r="F95" s="92" t="n"/>
      <c r="G95" s="84" t="inlineStr">
        <is>
          <t>18.10.1963</t>
        </is>
      </c>
      <c r="H95" s="92" t="n"/>
      <c r="I95" s="92" t="n"/>
      <c r="J95" s="85" t="inlineStr">
        <is>
          <t>USA</t>
        </is>
      </c>
      <c r="K95" s="85" t="inlineStr">
        <is>
          <t>US, California</t>
        </is>
      </c>
      <c r="L95" s="85" t="inlineStr">
        <is>
          <t>A58879278</t>
        </is>
      </c>
      <c r="M95" s="92" t="inlineStr"/>
      <c r="N95" s="92" t="n">
        <v>10</v>
      </c>
      <c r="O95" s="92" t="n"/>
      <c r="P95" s="92" t="n"/>
    </row>
    <row r="96" ht="12.75" customHeight="1" s="48">
      <c r="A96" s="92" t="n"/>
      <c r="B96" s="84" t="inlineStr">
        <is>
          <t>20.06.2025</t>
        </is>
      </c>
      <c r="C96" s="84" t="inlineStr">
        <is>
          <t>21.06.2025</t>
        </is>
      </c>
      <c r="D96" s="85" t="inlineStr">
        <is>
          <t>Albudaira</t>
        </is>
      </c>
      <c r="E96" s="85" t="inlineStr">
        <is>
          <t>Hussein</t>
        </is>
      </c>
      <c r="F96" s="92" t="n"/>
      <c r="G96" s="84" t="inlineStr">
        <is>
          <t>16.11.1991</t>
        </is>
      </c>
      <c r="H96" s="92" t="n"/>
      <c r="I96" s="92" t="n"/>
      <c r="J96" s="85" t="inlineStr">
        <is>
          <t>SYR</t>
        </is>
      </c>
      <c r="K96" s="85" t="inlineStr">
        <is>
          <t>SY, Damascus</t>
        </is>
      </c>
      <c r="L96" s="85" t="inlineStr">
        <is>
          <t>00123L0252236</t>
        </is>
      </c>
      <c r="M96" s="92" t="n">
        <v>901732494</v>
      </c>
      <c r="N96" s="92" t="n">
        <v>10</v>
      </c>
      <c r="O96" s="92" t="n"/>
      <c r="P96" s="92" t="n"/>
    </row>
    <row r="97" ht="12.75" customHeight="1" s="48">
      <c r="A97" s="92" t="n"/>
      <c r="B97" s="84" t="inlineStr">
        <is>
          <t>20.06.2025</t>
        </is>
      </c>
      <c r="C97" s="84" t="inlineStr">
        <is>
          <t>21.06.2025</t>
        </is>
      </c>
      <c r="D97" s="85" t="inlineStr">
        <is>
          <t>Van Der Zeeuw</t>
        </is>
      </c>
      <c r="E97" s="85" t="inlineStr">
        <is>
          <t>Daam</t>
        </is>
      </c>
      <c r="F97" s="92" t="n"/>
      <c r="G97" s="84" t="inlineStr">
        <is>
          <t>19.08.2000</t>
        </is>
      </c>
      <c r="H97" s="92" t="n"/>
      <c r="I97" s="92" t="n"/>
      <c r="J97" s="85" t="inlineStr">
        <is>
          <t>NLD</t>
        </is>
      </c>
      <c r="K97" s="85" t="inlineStr">
        <is>
          <t>NL, Nijmegen</t>
        </is>
      </c>
      <c r="L97" s="85" t="inlineStr">
        <is>
          <t>NN3872JC1</t>
        </is>
      </c>
      <c r="M97" s="92" t="inlineStr"/>
      <c r="N97" s="92" t="n">
        <v>10</v>
      </c>
      <c r="O97" s="92" t="n"/>
      <c r="P97" s="92" t="n"/>
    </row>
    <row r="98" ht="12.75" customHeight="1" s="48">
      <c r="A98" s="92" t="n"/>
      <c r="B98" s="84" t="inlineStr">
        <is>
          <t>20.06.2025</t>
        </is>
      </c>
      <c r="C98" s="84" t="inlineStr">
        <is>
          <t>26.06.2025</t>
        </is>
      </c>
      <c r="D98" s="85" t="inlineStr">
        <is>
          <t>Sandres</t>
        </is>
      </c>
      <c r="E98" s="85" t="inlineStr">
        <is>
          <t>Nathaniel Louis</t>
        </is>
      </c>
      <c r="F98" s="92" t="n"/>
      <c r="G98" s="84" t="inlineStr">
        <is>
          <t>20.10.2016</t>
        </is>
      </c>
      <c r="H98" s="92" t="n"/>
      <c r="I98" s="92" t="n"/>
      <c r="J98" s="85" t="inlineStr">
        <is>
          <t>USA</t>
        </is>
      </c>
      <c r="K98" s="85" t="inlineStr">
        <is>
          <t>US, Chicago</t>
        </is>
      </c>
      <c r="L98" s="85" t="inlineStr">
        <is>
          <t>550463444</t>
        </is>
      </c>
      <c r="M98" s="92" t="inlineStr"/>
      <c r="N98" s="92" t="n">
        <v>10</v>
      </c>
      <c r="O98" s="92" t="n"/>
      <c r="P98" s="92" t="n"/>
    </row>
    <row r="99" ht="12.75" customHeight="1" s="48">
      <c r="A99" s="92" t="n"/>
      <c r="B99" s="84" t="inlineStr">
        <is>
          <t>20.06.2025</t>
        </is>
      </c>
      <c r="C99" s="84" t="inlineStr">
        <is>
          <t>26.06.2025</t>
        </is>
      </c>
      <c r="D99" s="85" t="inlineStr">
        <is>
          <t>Opperman</t>
        </is>
      </c>
      <c r="E99" s="85" t="inlineStr">
        <is>
          <t>Monique</t>
        </is>
      </c>
      <c r="F99" s="92" t="n"/>
      <c r="G99" s="84" t="inlineStr">
        <is>
          <t>15.02.1996</t>
        </is>
      </c>
      <c r="H99" s="92" t="n"/>
      <c r="I99" s="92" t="n"/>
      <c r="J99" s="85" t="inlineStr">
        <is>
          <t>ZAF</t>
        </is>
      </c>
      <c r="K99" s="85" t="inlineStr">
        <is>
          <t>ZA, 11 Hoffman Street, 2531, Potchefstroom</t>
        </is>
      </c>
      <c r="L99" s="85" t="inlineStr">
        <is>
          <t>A11900396</t>
        </is>
      </c>
      <c r="M99" s="92" t="n">
        <v>901660067</v>
      </c>
      <c r="N99" s="92" t="n">
        <v>10</v>
      </c>
      <c r="O99" s="92" t="n"/>
      <c r="P99" s="92" t="n"/>
    </row>
    <row r="100" ht="12.75" customHeight="1" s="48">
      <c r="A100" s="92" t="n"/>
      <c r="B100" s="84" t="inlineStr">
        <is>
          <t>20.06.2025</t>
        </is>
      </c>
      <c r="C100" s="84" t="inlineStr">
        <is>
          <t>27.06.2025</t>
        </is>
      </c>
      <c r="D100" s="85" t="inlineStr">
        <is>
          <t>Azab</t>
        </is>
      </c>
      <c r="E100" s="85" t="inlineStr">
        <is>
          <t>Sandi</t>
        </is>
      </c>
      <c r="F100" s="92" t="n"/>
      <c r="G100" s="84" t="inlineStr">
        <is>
          <t>20.05.1983</t>
        </is>
      </c>
      <c r="H100" s="92" t="n"/>
      <c r="I100" s="92" t="n"/>
      <c r="J100" s="85" t="inlineStr">
        <is>
          <t>CAN</t>
        </is>
      </c>
      <c r="K100" s="85" t="inlineStr">
        <is>
          <t>CA, 1280 Main St. West, L8S 4K1, Hamilton</t>
        </is>
      </c>
      <c r="L100" s="85" t="inlineStr">
        <is>
          <t>AN120938</t>
        </is>
      </c>
      <c r="M100" s="92" t="inlineStr"/>
      <c r="N100" s="92" t="n">
        <v>10</v>
      </c>
      <c r="O100" s="92" t="n"/>
      <c r="P100" s="92" t="n"/>
    </row>
    <row r="101" ht="12.75" customHeight="1" s="48"/>
    <row r="102" ht="12.75" customHeight="1" s="48"/>
    <row r="103" ht="12.75" customHeight="1" s="48"/>
    <row r="104" ht="12.75" customHeight="1" s="48"/>
    <row r="105" ht="12.75" customHeight="1" s="48"/>
    <row r="106" ht="12.75" customHeight="1" s="48"/>
  </sheetData>
  <autoFilter ref="A1:P1"/>
  <printOptions horizontalCentered="0" verticalCentered="0" headings="0" gridLines="0" gridLinesSet="1"/>
  <pageMargins left="0.7875" right="0.7875" top="0.9840277777777779" bottom="0.9840277777777779" header="0.511811023622047" footer="0.511811023622047"/>
  <pageSetup orientation="landscape" paperSize="9" scale="100" fitToHeight="0" fitToWidth="1" pageOrder="downThenOver" blackAndWhite="0" draft="0" horizontalDpi="300" verticalDpi="300" copies="1"/>
</worksheet>
</file>

<file path=xl/worksheets/sheet3.xml><?xml version="1.0" encoding="utf-8"?>
<worksheet xmlns="http://schemas.openxmlformats.org/spreadsheetml/2006/main">
  <sheetPr filterMode="0">
    <outlinePr summaryBelow="1" summaryRight="1"/>
    <pageSetUpPr fitToPage="0"/>
  </sheetPr>
  <dimension ref="A1:D272"/>
  <sheetViews>
    <sheetView showFormulas="0" showGridLines="1" showRowColHeaders="1" showZeros="1" rightToLeft="0" tabSelected="0" showOutlineSymbols="1" defaultGridColor="1" view="normal" topLeftCell="B97" colorId="64" zoomScale="100" zoomScaleNormal="100" zoomScalePageLayoutView="100" workbookViewId="0">
      <selection pane="topLeft" activeCell="B60" activeCellId="0" sqref="B60"/>
    </sheetView>
  </sheetViews>
  <sheetFormatPr baseColWidth="8" defaultColWidth="9.0546875" defaultRowHeight="12.75" customHeight="1" zeroHeight="0" outlineLevelRow="0"/>
  <cols>
    <col hidden="1" width="4.41" customWidth="1" style="92" min="1" max="1"/>
    <col width="5.71" customWidth="1" style="92" min="2" max="2"/>
    <col width="36.14" customWidth="1" style="92" min="3" max="3"/>
    <col hidden="1" width="36.7" customWidth="1" style="92" min="4" max="4"/>
  </cols>
  <sheetData>
    <row r="1" ht="12.75" customHeight="1" s="48">
      <c r="A1" s="92" t="n">
        <v>13</v>
      </c>
      <c r="B1" s="92" t="inlineStr">
        <is>
          <t>ABW</t>
        </is>
      </c>
      <c r="C1" s="92" t="inlineStr">
        <is>
          <t>Aruba</t>
        </is>
      </c>
      <c r="D1" s="92">
        <f>CONCATENATE(B1," - ",C1)</f>
        <v/>
      </c>
    </row>
    <row r="2" ht="12.75" customHeight="1" s="48">
      <c r="A2" s="92" t="n">
        <v>104</v>
      </c>
      <c r="B2" s="92" t="inlineStr">
        <is>
          <t>AFG</t>
        </is>
      </c>
      <c r="C2" s="92" t="inlineStr">
        <is>
          <t>Afghánistán</t>
        </is>
      </c>
      <c r="D2" s="92">
        <f>CONCATENATE(B2," - ",C2)</f>
        <v/>
      </c>
    </row>
    <row r="3" ht="12.75" customHeight="1" s="48">
      <c r="A3" s="92" t="n">
        <v>7</v>
      </c>
      <c r="B3" s="92" t="inlineStr">
        <is>
          <t>AGO</t>
        </is>
      </c>
      <c r="C3" s="92" t="inlineStr">
        <is>
          <t>Angola</t>
        </is>
      </c>
      <c r="D3" s="92">
        <f>CONCATENATE(B3," - ",C3)</f>
        <v/>
      </c>
    </row>
    <row r="4" ht="12.75" customHeight="1" s="48">
      <c r="A4" s="92" t="n">
        <v>8</v>
      </c>
      <c r="B4" s="92" t="inlineStr">
        <is>
          <t>AIA</t>
        </is>
      </c>
      <c r="C4" s="92" t="inlineStr">
        <is>
          <t>Anguilla</t>
        </is>
      </c>
      <c r="D4" s="92">
        <f>CONCATENATE(B4," - ",C4)</f>
        <v/>
      </c>
    </row>
    <row r="5" ht="12.75" customHeight="1" s="48">
      <c r="A5" s="92" t="n">
        <v>2</v>
      </c>
      <c r="B5" s="92" t="inlineStr">
        <is>
          <t>ALB</t>
        </is>
      </c>
      <c r="C5" s="92" t="inlineStr">
        <is>
          <t>Albánie</t>
        </is>
      </c>
      <c r="D5" s="92">
        <f>CONCATENATE(B5," - ",C5)</f>
        <v/>
      </c>
    </row>
    <row r="6" ht="12.75" customHeight="1" s="48">
      <c r="A6" s="92" t="n">
        <v>6</v>
      </c>
      <c r="B6" s="92" t="inlineStr">
        <is>
          <t>AND</t>
        </is>
      </c>
      <c r="C6" s="92" t="inlineStr">
        <is>
          <t>Andorra</t>
        </is>
      </c>
      <c r="D6" s="92">
        <f>CONCATENATE(B6," - ",C6)</f>
        <v/>
      </c>
    </row>
    <row r="7" ht="12.75" customHeight="1" s="48">
      <c r="A7" s="92" t="n">
        <v>201</v>
      </c>
      <c r="B7" s="92" t="inlineStr">
        <is>
          <t>ANT</t>
        </is>
      </c>
      <c r="C7" s="92" t="inlineStr">
        <is>
          <t>Nizozemské Antily</t>
        </is>
      </c>
      <c r="D7" s="92">
        <f>CONCATENATE(B7," - ",C7)</f>
        <v/>
      </c>
    </row>
    <row r="8" ht="12.75" customHeight="1" s="48">
      <c r="A8" s="92" t="n">
        <v>205</v>
      </c>
      <c r="B8" s="92" t="inlineStr">
        <is>
          <t>ARE</t>
        </is>
      </c>
      <c r="C8" s="92" t="inlineStr">
        <is>
          <t>Spojené arabské emiráty</t>
        </is>
      </c>
      <c r="D8" s="92">
        <f>CONCATENATE(B8," - ",C8)</f>
        <v/>
      </c>
    </row>
    <row r="9" ht="12.75" customHeight="1" s="48">
      <c r="A9" s="92" t="n">
        <v>11</v>
      </c>
      <c r="B9" s="92" t="inlineStr">
        <is>
          <t>ARG</t>
        </is>
      </c>
      <c r="C9" s="92" t="inlineStr">
        <is>
          <t>Argentina</t>
        </is>
      </c>
      <c r="D9" s="92">
        <f>CONCATENATE(B9," - ",C9)</f>
        <v/>
      </c>
    </row>
    <row r="10" ht="12.75" customHeight="1" s="48">
      <c r="A10" s="92" t="n">
        <v>12</v>
      </c>
      <c r="B10" s="92" t="inlineStr">
        <is>
          <t>ARM</t>
        </is>
      </c>
      <c r="C10" s="92" t="inlineStr">
        <is>
          <t>Arménie</t>
        </is>
      </c>
      <c r="D10" s="92">
        <f>CONCATENATE(B10," - ",C10)</f>
        <v/>
      </c>
    </row>
    <row r="11" ht="12.75" customHeight="1" s="48">
      <c r="A11" s="92" t="n">
        <v>4</v>
      </c>
      <c r="B11" s="92" t="inlineStr">
        <is>
          <t>ASM</t>
        </is>
      </c>
      <c r="C11" s="92" t="inlineStr">
        <is>
          <t>Americká Samoa</t>
        </is>
      </c>
      <c r="D11" s="92">
        <f>CONCATENATE(B11," - ",C11)</f>
        <v/>
      </c>
    </row>
    <row r="12" ht="12.75" customHeight="1" s="48">
      <c r="A12" s="92" t="n">
        <v>9</v>
      </c>
      <c r="B12" s="92" t="inlineStr">
        <is>
          <t>ATA</t>
        </is>
      </c>
      <c r="C12" s="92" t="inlineStr">
        <is>
          <t>Antarktida</t>
        </is>
      </c>
      <c r="D12" s="92">
        <f>CONCATENATE(B12," - ",C12)</f>
        <v/>
      </c>
    </row>
    <row r="13" ht="12.75" customHeight="1" s="48">
      <c r="A13" s="92" t="n">
        <v>53</v>
      </c>
      <c r="B13" s="92" t="inlineStr">
        <is>
          <t>ATF</t>
        </is>
      </c>
      <c r="C13" s="92" t="inlineStr">
        <is>
          <t>Francouzská jižní území</t>
        </is>
      </c>
      <c r="D13" s="92">
        <f>CONCATENATE(B13," - ",C13)</f>
        <v/>
      </c>
    </row>
    <row r="14" ht="12.75" customHeight="1" s="48">
      <c r="A14" s="92" t="n">
        <v>10</v>
      </c>
      <c r="B14" s="92" t="inlineStr">
        <is>
          <t>ATG</t>
        </is>
      </c>
      <c r="C14" s="92" t="inlineStr">
        <is>
          <t>Antigua a Barbuda</t>
        </is>
      </c>
      <c r="D14" s="92">
        <f>CONCATENATE(B14," - ",C14)</f>
        <v/>
      </c>
    </row>
    <row r="15" ht="12.75" customHeight="1" s="48">
      <c r="A15" s="92" t="n">
        <v>242</v>
      </c>
      <c r="B15" s="92" t="inlineStr">
        <is>
          <t>ATN</t>
        </is>
      </c>
      <c r="C15" s="92" t="inlineStr">
        <is>
          <t>Země královny Maud</t>
        </is>
      </c>
      <c r="D15" s="92">
        <f>CONCATENATE(B15," - ",C15)</f>
        <v/>
      </c>
    </row>
    <row r="16" ht="12.75" customHeight="1" s="48">
      <c r="A16" s="92" t="n">
        <v>14</v>
      </c>
      <c r="B16" s="92" t="inlineStr">
        <is>
          <t>AUS</t>
        </is>
      </c>
      <c r="C16" s="92" t="inlineStr">
        <is>
          <t>Austrálie</t>
        </is>
      </c>
      <c r="D16" s="92">
        <f>CONCATENATE(B16," - ",C16)</f>
        <v/>
      </c>
    </row>
    <row r="17" ht="12.75" customHeight="1" s="48">
      <c r="A17" s="92" t="n">
        <v>173</v>
      </c>
      <c r="B17" s="92" t="inlineStr">
        <is>
          <t>AUT</t>
        </is>
      </c>
      <c r="C17" s="92" t="inlineStr">
        <is>
          <t>Rakousko</t>
        </is>
      </c>
      <c r="D17" s="92">
        <f>CONCATENATE(B17," - ",C17)</f>
        <v/>
      </c>
    </row>
    <row r="18" ht="12.75" customHeight="1" s="48">
      <c r="A18" s="92" t="n">
        <v>15</v>
      </c>
      <c r="B18" s="92" t="inlineStr">
        <is>
          <t>AZE</t>
        </is>
      </c>
      <c r="C18" s="92" t="inlineStr">
        <is>
          <t>Ázerbájdžán</t>
        </is>
      </c>
      <c r="D18" s="92">
        <f>CONCATENATE(B18," - ",C18)</f>
        <v/>
      </c>
    </row>
    <row r="19" ht="12.75" customHeight="1" s="48">
      <c r="A19" s="92" t="n">
        <v>34</v>
      </c>
      <c r="B19" s="92" t="inlineStr">
        <is>
          <t>BDI</t>
        </is>
      </c>
      <c r="C19" s="92" t="inlineStr">
        <is>
          <t>Burundi</t>
        </is>
      </c>
      <c r="D19" s="92">
        <f>CONCATENATE(B19," - ",C19)</f>
        <v/>
      </c>
    </row>
    <row r="20" ht="12.75" customHeight="1" s="48">
      <c r="A20" s="92" t="n">
        <v>19</v>
      </c>
      <c r="B20" s="92" t="inlineStr">
        <is>
          <t>BEL</t>
        </is>
      </c>
      <c r="C20" s="92" t="inlineStr">
        <is>
          <t>Belgie</t>
        </is>
      </c>
      <c r="D20" s="92">
        <f>CONCATENATE(B20," - ",C20)</f>
        <v/>
      </c>
    </row>
    <row r="21" ht="12.75" customHeight="1" s="48">
      <c r="A21" s="92" t="n">
        <v>22</v>
      </c>
      <c r="B21" s="92" t="inlineStr">
        <is>
          <t>BEN</t>
        </is>
      </c>
      <c r="C21" s="92" t="inlineStr">
        <is>
          <t>Benin</t>
        </is>
      </c>
      <c r="D21" s="92">
        <f>CONCATENATE(B21," - ",C21)</f>
        <v/>
      </c>
    </row>
    <row r="22" ht="12.75" customHeight="1" s="48">
      <c r="A22" s="92" t="n">
        <v>280</v>
      </c>
      <c r="B22" s="92" t="inlineStr">
        <is>
          <t>BES</t>
        </is>
      </c>
      <c r="C22" s="92" t="inlineStr">
        <is>
          <t>Bonaire, Saint Eustatius and Saba</t>
        </is>
      </c>
      <c r="D22" s="92">
        <f>CONCATENATE(B22," - ",C22)</f>
        <v/>
      </c>
    </row>
    <row r="23" ht="12.75" customHeight="1" s="48">
      <c r="A23" s="92" t="n">
        <v>33</v>
      </c>
      <c r="B23" s="92" t="inlineStr">
        <is>
          <t>BFA</t>
        </is>
      </c>
      <c r="C23" s="92" t="inlineStr">
        <is>
          <t>Burkina Faso</t>
        </is>
      </c>
      <c r="D23" s="92">
        <f>CONCATENATE(B23," - ",C23)</f>
        <v/>
      </c>
    </row>
    <row r="24" ht="12.75" customHeight="1" s="48">
      <c r="A24" s="92" t="n">
        <v>106</v>
      </c>
      <c r="B24" s="92" t="inlineStr">
        <is>
          <t>BGD</t>
        </is>
      </c>
      <c r="C24" s="92" t="inlineStr">
        <is>
          <t>Bangladéš</t>
        </is>
      </c>
      <c r="D24" s="92">
        <f>CONCATENATE(B24," - ",C24)</f>
        <v/>
      </c>
    </row>
    <row r="25" ht="12.75" customHeight="1" s="48">
      <c r="A25" s="92" t="n">
        <v>32</v>
      </c>
      <c r="B25" s="92" t="inlineStr">
        <is>
          <t>BGR</t>
        </is>
      </c>
      <c r="C25" s="92" t="inlineStr">
        <is>
          <t>Bulharsko</t>
        </is>
      </c>
      <c r="D25" s="92">
        <f>CONCATENATE(B25," - ",C25)</f>
        <v/>
      </c>
    </row>
    <row r="26" ht="12.75" customHeight="1" s="48">
      <c r="A26" s="92" t="n">
        <v>17</v>
      </c>
      <c r="B26" s="92" t="inlineStr">
        <is>
          <t>BHR</t>
        </is>
      </c>
      <c r="C26" s="92" t="inlineStr">
        <is>
          <t>Bahrajn</t>
        </is>
      </c>
      <c r="D26" s="92">
        <f>CONCATENATE(B26," - ",C26)</f>
        <v/>
      </c>
    </row>
    <row r="27" ht="12.75" customHeight="1" s="48">
      <c r="A27" s="92" t="n">
        <v>16</v>
      </c>
      <c r="B27" s="92" t="inlineStr">
        <is>
          <t>BHS</t>
        </is>
      </c>
      <c r="C27" s="92" t="inlineStr">
        <is>
          <t>Bahamy</t>
        </is>
      </c>
      <c r="D27" s="92">
        <f>CONCATENATE(B27," - ",C27)</f>
        <v/>
      </c>
    </row>
    <row r="28" ht="12.75" customHeight="1" s="48">
      <c r="A28" s="92" t="n">
        <v>26</v>
      </c>
      <c r="B28" s="92" t="inlineStr">
        <is>
          <t>BIH</t>
        </is>
      </c>
      <c r="C28" s="92" t="inlineStr">
        <is>
          <t>Bosna a Hercegovina</t>
        </is>
      </c>
      <c r="D28" s="92">
        <f>CONCATENATE(B28," - ",C28)</f>
        <v/>
      </c>
    </row>
    <row r="29" ht="12.75" customHeight="1" s="48">
      <c r="A29" s="92" t="n">
        <v>278</v>
      </c>
      <c r="B29" s="92" t="inlineStr">
        <is>
          <t>BLM</t>
        </is>
      </c>
      <c r="C29" s="92" t="inlineStr">
        <is>
          <t>Saint Barthélemy</t>
        </is>
      </c>
      <c r="D29" s="92">
        <f>CONCATENATE(B29," - ",C29)</f>
        <v/>
      </c>
    </row>
    <row r="30" ht="12.75" customHeight="1" s="48">
      <c r="A30" s="92" t="n">
        <v>21</v>
      </c>
      <c r="B30" s="92" t="inlineStr">
        <is>
          <t>BLR</t>
        </is>
      </c>
      <c r="C30" s="92" t="inlineStr">
        <is>
          <t>Bělorusko</t>
        </is>
      </c>
      <c r="D30" s="92">
        <f>CONCATENATE(B30," - ",C30)</f>
        <v/>
      </c>
    </row>
    <row r="31" ht="12.75" customHeight="1" s="48">
      <c r="A31" s="92" t="n">
        <v>20</v>
      </c>
      <c r="B31" s="92" t="inlineStr">
        <is>
          <t>BLZ</t>
        </is>
      </c>
      <c r="C31" s="92" t="inlineStr">
        <is>
          <t>Belize</t>
        </is>
      </c>
      <c r="D31" s="92">
        <f>CONCATENATE(B31," - ",C31)</f>
        <v/>
      </c>
    </row>
    <row r="32" ht="12.75" customHeight="1" s="48">
      <c r="A32" s="92" t="n">
        <v>23</v>
      </c>
      <c r="B32" s="92" t="inlineStr">
        <is>
          <t>BMU</t>
        </is>
      </c>
      <c r="C32" s="92" t="inlineStr">
        <is>
          <t>Bermudy</t>
        </is>
      </c>
      <c r="D32" s="92">
        <f>CONCATENATE(B32," - ",C32)</f>
        <v/>
      </c>
    </row>
    <row r="33" ht="12.75" customHeight="1" s="48">
      <c r="A33" s="92" t="n">
        <v>25</v>
      </c>
      <c r="B33" s="92" t="inlineStr">
        <is>
          <t>BOL</t>
        </is>
      </c>
      <c r="C33" s="92" t="inlineStr">
        <is>
          <t>Bolívie</t>
        </is>
      </c>
      <c r="D33" s="92">
        <f>CONCATENATE(B33," - ",C33)</f>
        <v/>
      </c>
    </row>
    <row r="34" ht="12.75" customHeight="1" s="48">
      <c r="A34" s="92" t="n">
        <v>29</v>
      </c>
      <c r="B34" s="92" t="inlineStr">
        <is>
          <t>BRA</t>
        </is>
      </c>
      <c r="C34" s="92" t="inlineStr">
        <is>
          <t>Brazílie</t>
        </is>
      </c>
      <c r="D34" s="92">
        <f>CONCATENATE(B34," - ",C34)</f>
        <v/>
      </c>
    </row>
    <row r="35" ht="12.75" customHeight="1" s="48">
      <c r="A35" s="92" t="n">
        <v>18</v>
      </c>
      <c r="B35" s="92" t="inlineStr">
        <is>
          <t>BRB</t>
        </is>
      </c>
      <c r="C35" s="92" t="inlineStr">
        <is>
          <t>Barbados</t>
        </is>
      </c>
      <c r="D35" s="92">
        <f>CONCATENATE(B35," - ",C35)</f>
        <v/>
      </c>
    </row>
    <row r="36" ht="12.75" customHeight="1" s="48">
      <c r="A36" s="92" t="n">
        <v>31</v>
      </c>
      <c r="B36" s="92" t="inlineStr">
        <is>
          <t>BRN</t>
        </is>
      </c>
      <c r="C36" s="92" t="inlineStr">
        <is>
          <t>Brunej Darussalam</t>
        </is>
      </c>
      <c r="D36" s="92">
        <f>CONCATENATE(B36," - ",C36)</f>
        <v/>
      </c>
    </row>
    <row r="37" ht="12.75" customHeight="1" s="48">
      <c r="A37" s="92" t="n">
        <v>24</v>
      </c>
      <c r="B37" s="92" t="inlineStr">
        <is>
          <t>BTN</t>
        </is>
      </c>
      <c r="C37" s="92" t="inlineStr">
        <is>
          <t>Bhútán</t>
        </is>
      </c>
      <c r="D37" s="92">
        <f>CONCATENATE(B37," - ",C37)</f>
        <v/>
      </c>
    </row>
    <row r="38" ht="12.75" customHeight="1" s="48">
      <c r="A38" s="92" t="n">
        <v>28</v>
      </c>
      <c r="B38" s="92" t="inlineStr">
        <is>
          <t>BVT</t>
        </is>
      </c>
      <c r="C38" s="92" t="inlineStr">
        <is>
          <t>Bouvetův ostrov</t>
        </is>
      </c>
      <c r="D38" s="92">
        <f>CONCATENATE(B38," - ",C38)</f>
        <v/>
      </c>
    </row>
    <row r="39" ht="12.75" customHeight="1" s="48">
      <c r="A39" s="92" t="n">
        <v>27</v>
      </c>
      <c r="B39" s="92" t="inlineStr">
        <is>
          <t>BWA</t>
        </is>
      </c>
      <c r="C39" s="92" t="inlineStr">
        <is>
          <t>Botswana</t>
        </is>
      </c>
      <c r="D39" s="92">
        <f>CONCATENATE(B39," - ",C39)</f>
        <v/>
      </c>
    </row>
    <row r="40" ht="12.75" customHeight="1" s="48">
      <c r="A40" s="92" t="n">
        <v>99</v>
      </c>
      <c r="B40" s="92" t="inlineStr">
        <is>
          <t>CAF</t>
        </is>
      </c>
      <c r="C40" s="92" t="inlineStr">
        <is>
          <t>Středoafrická republika</t>
        </is>
      </c>
      <c r="D40" s="92">
        <f>CONCATENATE(B40," - ",C40)</f>
        <v/>
      </c>
    </row>
    <row r="41" ht="12.75" customHeight="1" s="48">
      <c r="A41" s="92" t="n">
        <v>85</v>
      </c>
      <c r="B41" s="92" t="inlineStr">
        <is>
          <t>CAN</t>
        </is>
      </c>
      <c r="C41" s="92" t="inlineStr">
        <is>
          <t>Kanada</t>
        </is>
      </c>
      <c r="D41" s="92">
        <f>CONCATENATE(B41," - ",C41)</f>
        <v/>
      </c>
    </row>
    <row r="42" ht="12.75" customHeight="1" s="48">
      <c r="A42" s="92" t="n">
        <v>200</v>
      </c>
      <c r="B42" s="92" t="inlineStr">
        <is>
          <t>CCK</t>
        </is>
      </c>
      <c r="C42" s="92" t="inlineStr">
        <is>
          <t>Kokosové ostrovy</t>
        </is>
      </c>
      <c r="D42" s="92">
        <f>CONCATENATE(B42," - ",C42)</f>
        <v/>
      </c>
    </row>
    <row r="43" ht="12.75" customHeight="1" s="48">
      <c r="A43" s="92" t="n">
        <v>170</v>
      </c>
      <c r="B43" s="92" t="inlineStr">
        <is>
          <t>CIV</t>
        </is>
      </c>
      <c r="C43" s="92" t="inlineStr">
        <is>
          <t>Pobřeží slonoviny</t>
        </is>
      </c>
      <c r="D43" s="92">
        <f>CONCATENATE(B43," - ",C43)</f>
        <v/>
      </c>
    </row>
    <row r="44" ht="12.75" customHeight="1" s="48">
      <c r="A44" s="92" t="n">
        <v>84</v>
      </c>
      <c r="B44" s="92" t="inlineStr">
        <is>
          <t>CMR</t>
        </is>
      </c>
      <c r="C44" s="92" t="inlineStr">
        <is>
          <t>Kamerun</t>
        </is>
      </c>
      <c r="D44" s="92">
        <f>CONCATENATE(B44," - ",C44)</f>
        <v/>
      </c>
    </row>
    <row r="45" ht="12.75" customHeight="1" s="48">
      <c r="A45" s="92" t="n">
        <v>93</v>
      </c>
      <c r="B45" s="92" t="inlineStr">
        <is>
          <t>COD</t>
        </is>
      </c>
      <c r="C45" s="92" t="inlineStr">
        <is>
          <t>Kongo, demokratická republika</t>
        </is>
      </c>
      <c r="D45" s="92">
        <f>CONCATENATE(B45," - ",C45)</f>
        <v/>
      </c>
    </row>
    <row r="46" ht="12.75" customHeight="1" s="48">
      <c r="A46" s="92" t="n">
        <v>92</v>
      </c>
      <c r="B46" s="92" t="inlineStr">
        <is>
          <t>COG</t>
        </is>
      </c>
      <c r="C46" s="92" t="inlineStr">
        <is>
          <t>Kongo</t>
        </is>
      </c>
      <c r="D46" s="92">
        <f>CONCATENATE(B46," - ",C46)</f>
        <v/>
      </c>
    </row>
    <row r="47" ht="12.75" customHeight="1" s="48">
      <c r="A47" s="92" t="n">
        <v>36</v>
      </c>
      <c r="B47" s="92" t="inlineStr">
        <is>
          <t>COK</t>
        </is>
      </c>
      <c r="C47" s="92" t="inlineStr">
        <is>
          <t>Cookovy ostrovy</t>
        </is>
      </c>
      <c r="D47" s="92">
        <f>CONCATENATE(B47," - ",C47)</f>
        <v/>
      </c>
    </row>
    <row r="48" ht="12.75" customHeight="1" s="48">
      <c r="A48" s="92" t="n">
        <v>90</v>
      </c>
      <c r="B48" s="92" t="inlineStr">
        <is>
          <t>COL</t>
        </is>
      </c>
      <c r="C48" s="92" t="inlineStr">
        <is>
          <t>Kolumbie</t>
        </is>
      </c>
      <c r="D48" s="92">
        <f>CONCATENATE(B48," - ",C48)</f>
        <v/>
      </c>
    </row>
    <row r="49" ht="12.75" customHeight="1" s="48">
      <c r="A49" s="92" t="n">
        <v>91</v>
      </c>
      <c r="B49" s="92" t="inlineStr">
        <is>
          <t>COM</t>
        </is>
      </c>
      <c r="C49" s="92" t="inlineStr">
        <is>
          <t>Komory</t>
        </is>
      </c>
      <c r="D49" s="92">
        <f>CONCATENATE(B49," - ",C49)</f>
        <v/>
      </c>
    </row>
    <row r="50" ht="12.75" customHeight="1" s="48">
      <c r="A50" s="92" t="n">
        <v>86</v>
      </c>
      <c r="B50" s="92" t="inlineStr">
        <is>
          <t>CPV</t>
        </is>
      </c>
      <c r="C50" s="92" t="inlineStr">
        <is>
          <t>Kapverdy</t>
        </is>
      </c>
      <c r="D50" s="92">
        <f>CONCATENATE(B50," - ",C50)</f>
        <v/>
      </c>
    </row>
    <row r="51" ht="12.75" customHeight="1" s="48">
      <c r="A51" s="92" t="n">
        <v>114</v>
      </c>
      <c r="B51" s="92" t="inlineStr">
        <is>
          <t>CRI</t>
        </is>
      </c>
      <c r="C51" s="92" t="inlineStr">
        <is>
          <t>Kostarika</t>
        </is>
      </c>
      <c r="D51" s="92">
        <f>CONCATENATE(B51," - ",C51)</f>
        <v/>
      </c>
    </row>
    <row r="52" ht="12.75" customHeight="1" s="48">
      <c r="A52" s="92" t="n">
        <v>115</v>
      </c>
      <c r="B52" s="92" t="inlineStr">
        <is>
          <t>CUB</t>
        </is>
      </c>
      <c r="C52" s="92" t="inlineStr">
        <is>
          <t>Kuba</t>
        </is>
      </c>
      <c r="D52" s="92">
        <f>CONCATENATE(B52," - ",C52)</f>
        <v/>
      </c>
    </row>
    <row r="53" ht="12.75" customHeight="1" s="48">
      <c r="A53" s="92" t="n">
        <v>281</v>
      </c>
      <c r="B53" s="92" t="inlineStr">
        <is>
          <t>CUW</t>
        </is>
      </c>
      <c r="C53" s="92" t="inlineStr">
        <is>
          <t>Curaçao</t>
        </is>
      </c>
      <c r="D53" s="92">
        <f>CONCATENATE(B53," - ",C53)</f>
        <v/>
      </c>
    </row>
    <row r="54" ht="12.75" customHeight="1" s="48">
      <c r="A54" s="92" t="n">
        <v>234</v>
      </c>
      <c r="B54" s="92" t="inlineStr">
        <is>
          <t>CXR</t>
        </is>
      </c>
      <c r="C54" s="92" t="inlineStr">
        <is>
          <t>Vánoční ostrov</t>
        </is>
      </c>
      <c r="D54" s="92">
        <f>CONCATENATE(B54," - ",C54)</f>
        <v/>
      </c>
    </row>
    <row r="55" ht="12.75" customHeight="1" s="48">
      <c r="A55" s="92" t="n">
        <v>82</v>
      </c>
      <c r="B55" s="92" t="inlineStr">
        <is>
          <t>CYM</t>
        </is>
      </c>
      <c r="C55" s="92" t="inlineStr">
        <is>
          <t>Kajmanské ostrovy</t>
        </is>
      </c>
      <c r="D55" s="92">
        <f>CONCATENATE(B55," - ",C55)</f>
        <v/>
      </c>
    </row>
    <row r="56" ht="12.75" customHeight="1" s="48">
      <c r="A56" s="92" t="n">
        <v>117</v>
      </c>
      <c r="B56" s="92" t="inlineStr">
        <is>
          <t>CYP</t>
        </is>
      </c>
      <c r="C56" s="92" t="inlineStr">
        <is>
          <t>Kypr</t>
        </is>
      </c>
      <c r="D56" s="92">
        <f>CONCATENATE(B56," - ",C56)</f>
        <v/>
      </c>
    </row>
    <row r="57" ht="12.75" customHeight="1" s="48">
      <c r="A57" s="92" t="n">
        <v>152</v>
      </c>
      <c r="B57" s="92" t="inlineStr">
        <is>
          <t>DEU</t>
        </is>
      </c>
      <c r="C57" s="92" t="inlineStr">
        <is>
          <t>Německo</t>
        </is>
      </c>
      <c r="D57" s="92">
        <f>CONCATENATE(B57," - ",C57)</f>
        <v/>
      </c>
    </row>
    <row r="58" ht="12.75" customHeight="1" s="48">
      <c r="A58" s="92" t="n">
        <v>42</v>
      </c>
      <c r="B58" s="92" t="inlineStr">
        <is>
          <t>DJI</t>
        </is>
      </c>
      <c r="C58" s="92" t="inlineStr">
        <is>
          <t>Džibutsko</t>
        </is>
      </c>
      <c r="D58" s="92">
        <f>CONCATENATE(B58," - ",C58)</f>
        <v/>
      </c>
    </row>
    <row r="59" ht="12.75" customHeight="1" s="48">
      <c r="A59" s="92" t="n">
        <v>41</v>
      </c>
      <c r="B59" s="92" t="inlineStr">
        <is>
          <t>DMA</t>
        </is>
      </c>
      <c r="C59" s="92" t="inlineStr">
        <is>
          <t>Dominika</t>
        </is>
      </c>
      <c r="D59" s="92">
        <f>CONCATENATE(B59," - ",C59)</f>
        <v/>
      </c>
    </row>
    <row r="60" ht="12.75" customHeight="1" s="48">
      <c r="A60" s="92" t="n">
        <v>40</v>
      </c>
      <c r="B60" s="92" t="inlineStr">
        <is>
          <t>DNK</t>
        </is>
      </c>
      <c r="C60" s="92" t="inlineStr">
        <is>
          <t>Dánsko</t>
        </is>
      </c>
      <c r="D60" s="92">
        <f>CONCATENATE(B60," - ",C60)</f>
        <v/>
      </c>
    </row>
    <row r="61" ht="12.75" customHeight="1" s="48">
      <c r="A61" s="92" t="n">
        <v>193</v>
      </c>
      <c r="B61" s="92" t="inlineStr">
        <is>
          <t>DOM</t>
        </is>
      </c>
      <c r="C61" s="92" t="inlineStr">
        <is>
          <t>Dominikánská republika</t>
        </is>
      </c>
      <c r="D61" s="92">
        <f>CONCATENATE(B61," - ",C61)</f>
        <v/>
      </c>
    </row>
    <row r="62" ht="12.75" customHeight="1" s="48">
      <c r="A62" s="92" t="n">
        <v>3</v>
      </c>
      <c r="B62" s="92" t="inlineStr">
        <is>
          <t>DZA</t>
        </is>
      </c>
      <c r="C62" s="92" t="inlineStr">
        <is>
          <t>Alžírsko</t>
        </is>
      </c>
      <c r="D62" s="92">
        <f>CONCATENATE(B62," - ",C62)</f>
        <v/>
      </c>
    </row>
    <row r="63" ht="12.75" customHeight="1" s="48">
      <c r="A63" s="92" t="n">
        <v>44</v>
      </c>
      <c r="B63" s="92" t="inlineStr">
        <is>
          <t>ECU</t>
        </is>
      </c>
      <c r="C63" s="92" t="inlineStr">
        <is>
          <t>Ekvádor</t>
        </is>
      </c>
      <c r="D63" s="92">
        <f>CONCATENATE(B63," - ",C63)</f>
        <v/>
      </c>
    </row>
    <row r="64" ht="12.75" customHeight="1" s="48">
      <c r="A64" s="92" t="n">
        <v>43</v>
      </c>
      <c r="B64" s="92" t="inlineStr">
        <is>
          <t>EGY</t>
        </is>
      </c>
      <c r="C64" s="92" t="inlineStr">
        <is>
          <t>Egypt</t>
        </is>
      </c>
      <c r="D64" s="92">
        <f>CONCATENATE(B64," - ",C64)</f>
        <v/>
      </c>
    </row>
    <row r="65" ht="12.75" customHeight="1" s="48">
      <c r="A65" s="92" t="n">
        <v>45</v>
      </c>
      <c r="B65" s="92" t="inlineStr">
        <is>
          <t>ERI</t>
        </is>
      </c>
      <c r="C65" s="92" t="inlineStr">
        <is>
          <t>Eritrea</t>
        </is>
      </c>
      <c r="D65" s="92">
        <f>CONCATENATE(B65," - ",C65)</f>
        <v/>
      </c>
    </row>
    <row r="66" ht="12.75" customHeight="1" s="48">
      <c r="A66" s="92" t="n">
        <v>96</v>
      </c>
      <c r="B66" s="92" t="inlineStr">
        <is>
          <t>ESH</t>
        </is>
      </c>
      <c r="C66" s="92" t="inlineStr">
        <is>
          <t>Západní Sahara</t>
        </is>
      </c>
      <c r="D66" s="92">
        <f>CONCATENATE(B66," - ",C66)</f>
        <v/>
      </c>
    </row>
    <row r="67" ht="12.75" customHeight="1" s="48">
      <c r="A67" s="92" t="n">
        <v>214</v>
      </c>
      <c r="B67" s="92" t="inlineStr">
        <is>
          <t>ESP</t>
        </is>
      </c>
      <c r="C67" s="92" t="inlineStr">
        <is>
          <t>Španělsko</t>
        </is>
      </c>
      <c r="D67" s="92">
        <f>CONCATENATE(B67," - ",C67)</f>
        <v/>
      </c>
    </row>
    <row r="68" ht="12.75" customHeight="1" s="48">
      <c r="A68" s="92" t="n">
        <v>46</v>
      </c>
      <c r="B68" s="92" t="inlineStr">
        <is>
          <t>EST</t>
        </is>
      </c>
      <c r="C68" s="92" t="inlineStr">
        <is>
          <t>Estonsko</t>
        </is>
      </c>
      <c r="D68" s="92">
        <f>CONCATENATE(B68," - ",C68)</f>
        <v/>
      </c>
    </row>
    <row r="69" ht="12.75" customHeight="1" s="48">
      <c r="A69" s="92" t="n">
        <v>47</v>
      </c>
      <c r="B69" s="92" t="inlineStr">
        <is>
          <t>ETH</t>
        </is>
      </c>
      <c r="C69" s="92" t="inlineStr">
        <is>
          <t>Etiopie</t>
        </is>
      </c>
      <c r="D69" s="92">
        <f>CONCATENATE(B69," - ",C69)</f>
        <v/>
      </c>
    </row>
    <row r="70" ht="12.75" customHeight="1" s="48">
      <c r="A70" s="92" t="n">
        <v>52</v>
      </c>
      <c r="B70" s="92" t="inlineStr">
        <is>
          <t>FIN</t>
        </is>
      </c>
      <c r="C70" s="92" t="inlineStr">
        <is>
          <t>Finsko</t>
        </is>
      </c>
      <c r="D70" s="92">
        <f>CONCATENATE(B70," - ",C70)</f>
        <v/>
      </c>
    </row>
    <row r="71" ht="12.75" customHeight="1" s="48">
      <c r="A71" s="92" t="n">
        <v>50</v>
      </c>
      <c r="B71" s="92" t="inlineStr">
        <is>
          <t>FJI</t>
        </is>
      </c>
      <c r="C71" s="92" t="inlineStr">
        <is>
          <t>Fidži</t>
        </is>
      </c>
      <c r="D71" s="92">
        <f>CONCATENATE(B71," - ",C71)</f>
        <v/>
      </c>
    </row>
    <row r="72" ht="12.75" customHeight="1" s="48">
      <c r="A72" s="92" t="n">
        <v>49</v>
      </c>
      <c r="B72" s="92" t="inlineStr">
        <is>
          <t>FLK</t>
        </is>
      </c>
      <c r="C72" s="92" t="inlineStr">
        <is>
          <t>Falklandy</t>
        </is>
      </c>
      <c r="D72" s="92">
        <f>CONCATENATE(B72," - ",C72)</f>
        <v/>
      </c>
    </row>
    <row r="73" ht="12.75" customHeight="1" s="48">
      <c r="A73" s="92" t="n">
        <v>194</v>
      </c>
      <c r="B73" s="92" t="inlineStr">
        <is>
          <t>FRA</t>
        </is>
      </c>
      <c r="C73" s="92" t="inlineStr">
        <is>
          <t>Francie</t>
        </is>
      </c>
      <c r="D73" s="92">
        <f>CONCATENATE(B73," - ",C73)</f>
        <v/>
      </c>
    </row>
    <row r="74" ht="12.75" customHeight="1" s="48">
      <c r="A74" s="92" t="n">
        <v>48</v>
      </c>
      <c r="B74" s="92" t="inlineStr">
        <is>
          <t>FRO</t>
        </is>
      </c>
      <c r="C74" s="92" t="inlineStr">
        <is>
          <t>Faerské ostrovy</t>
        </is>
      </c>
      <c r="D74" s="92">
        <f>CONCATENATE(B74," - ",C74)</f>
        <v/>
      </c>
    </row>
    <row r="75" ht="12.75" customHeight="1" s="48">
      <c r="A75" s="92" t="n">
        <v>144</v>
      </c>
      <c r="B75" s="92" t="inlineStr">
        <is>
          <t>FSM</t>
        </is>
      </c>
      <c r="C75" s="92" t="inlineStr">
        <is>
          <t>Mikronésie</t>
        </is>
      </c>
      <c r="D75" s="92">
        <f>CONCATENATE(B75," - ",C75)</f>
        <v/>
      </c>
    </row>
    <row r="76" ht="12.75" customHeight="1" s="48">
      <c r="A76" s="92" t="n">
        <v>263</v>
      </c>
      <c r="B76" s="92" t="inlineStr">
        <is>
          <t>FXX</t>
        </is>
      </c>
      <c r="C76" s="92" t="inlineStr">
        <is>
          <t>Francie metropolitní</t>
        </is>
      </c>
      <c r="D76" s="92">
        <f>CONCATENATE(B76," - ",C76)</f>
        <v/>
      </c>
    </row>
    <row r="77" ht="12.75" customHeight="1" s="48">
      <c r="A77" s="92" t="n">
        <v>55</v>
      </c>
      <c r="B77" s="92" t="inlineStr">
        <is>
          <t>GAB</t>
        </is>
      </c>
      <c r="C77" s="92" t="inlineStr">
        <is>
          <t>Gabon</t>
        </is>
      </c>
      <c r="D77" s="92">
        <f>CONCATENATE(B77," - ",C77)</f>
        <v/>
      </c>
    </row>
    <row r="78" ht="12.75" customHeight="1" s="48">
      <c r="A78" s="92" t="n">
        <v>243</v>
      </c>
      <c r="B78" s="92" t="inlineStr">
        <is>
          <t>GBD</t>
        </is>
      </c>
      <c r="C78" s="92" t="inlineStr">
        <is>
          <t>britská závislá území</t>
        </is>
      </c>
      <c r="D78" s="92">
        <f>CONCATENATE(B78," - ",C78)</f>
        <v/>
      </c>
    </row>
    <row r="79" ht="12.75" customHeight="1" s="48">
      <c r="A79" s="92" t="n">
        <v>264</v>
      </c>
      <c r="B79" s="92" t="inlineStr">
        <is>
          <t>GBN</t>
        </is>
      </c>
      <c r="C79" s="92" t="inlineStr">
        <is>
          <t>britská zámořská národnost</t>
        </is>
      </c>
      <c r="D79" s="92">
        <f>CONCATENATE(B79," - ",C79)</f>
        <v/>
      </c>
    </row>
    <row r="80" ht="12.75" customHeight="1" s="48">
      <c r="A80" s="92" t="n">
        <v>244</v>
      </c>
      <c r="B80" s="92" t="inlineStr">
        <is>
          <t>GBO</t>
        </is>
      </c>
      <c r="C80" s="92" t="inlineStr">
        <is>
          <t>britské zámořské území</t>
        </is>
      </c>
      <c r="D80" s="92">
        <f>CONCATENATE(B80," - ",C80)</f>
        <v/>
      </c>
    </row>
    <row r="81" ht="12.75" customHeight="1" s="48">
      <c r="A81" s="92" t="n">
        <v>265</v>
      </c>
      <c r="B81" s="92" t="inlineStr">
        <is>
          <t>GBP</t>
        </is>
      </c>
      <c r="C81" s="92" t="inlineStr">
        <is>
          <t>britské chráněné osoby</t>
        </is>
      </c>
      <c r="D81" s="92">
        <f>CONCATENATE(B81," - ",C81)</f>
        <v/>
      </c>
    </row>
    <row r="82" ht="12.75" customHeight="1" s="48">
      <c r="A82" s="92" t="n">
        <v>189</v>
      </c>
      <c r="B82" s="92" t="inlineStr">
        <is>
          <t>GBR</t>
        </is>
      </c>
      <c r="C82" s="92" t="inlineStr">
        <is>
          <t>Spojené království</t>
        </is>
      </c>
      <c r="D82" s="92">
        <f>CONCATENATE(B82," - ",C82)</f>
        <v/>
      </c>
    </row>
    <row r="83" ht="12.75" customHeight="1" s="48">
      <c r="A83" s="92" t="n">
        <v>245</v>
      </c>
      <c r="B83" s="92" t="inlineStr">
        <is>
          <t>GBS</t>
        </is>
      </c>
      <c r="C83" s="92" t="inlineStr">
        <is>
          <t>Britský subjekt</t>
        </is>
      </c>
      <c r="D83" s="92">
        <f>CONCATENATE(B83," - ",C83)</f>
        <v/>
      </c>
    </row>
    <row r="84" ht="12.75" customHeight="1" s="48">
      <c r="A84" s="92" t="n">
        <v>59</v>
      </c>
      <c r="B84" s="92" t="inlineStr">
        <is>
          <t>GEO</t>
        </is>
      </c>
      <c r="C84" s="92" t="inlineStr">
        <is>
          <t>Gruzie</t>
        </is>
      </c>
      <c r="D84" s="92">
        <f>CONCATENATE(B84," - ",C84)</f>
        <v/>
      </c>
    </row>
    <row r="85" ht="12.75" customHeight="1" s="48">
      <c r="A85" s="92" t="n">
        <v>57</v>
      </c>
      <c r="B85" s="92" t="inlineStr">
        <is>
          <t>GHA</t>
        </is>
      </c>
      <c r="C85" s="92" t="inlineStr">
        <is>
          <t>Ghana</t>
        </is>
      </c>
      <c r="D85" s="92">
        <f>CONCATENATE(B85," - ",C85)</f>
        <v/>
      </c>
    </row>
    <row r="86" ht="12.75" customHeight="1" s="48">
      <c r="A86" s="92" t="n">
        <v>195</v>
      </c>
      <c r="B86" s="92" t="inlineStr">
        <is>
          <t>GIB</t>
        </is>
      </c>
      <c r="C86" s="92" t="inlineStr">
        <is>
          <t>Gibraltar</t>
        </is>
      </c>
      <c r="D86" s="92">
        <f>CONCATENATE(B86," - ",C86)</f>
        <v/>
      </c>
    </row>
    <row r="87" ht="12.75" customHeight="1" s="48">
      <c r="A87" s="92" t="n">
        <v>62</v>
      </c>
      <c r="B87" s="92" t="inlineStr">
        <is>
          <t>GIN</t>
        </is>
      </c>
      <c r="C87" s="92" t="inlineStr">
        <is>
          <t>Guinea</t>
        </is>
      </c>
      <c r="D87" s="92">
        <f>CONCATENATE(B87," - ",C87)</f>
        <v/>
      </c>
    </row>
    <row r="88" ht="12.75" customHeight="1" s="48">
      <c r="A88" s="92" t="n">
        <v>266</v>
      </c>
      <c r="B88" s="92" t="inlineStr">
        <is>
          <t>GLP</t>
        </is>
      </c>
      <c r="C88" s="92" t="inlineStr">
        <is>
          <t>Guadeloupe</t>
        </is>
      </c>
      <c r="D88" s="92">
        <f>CONCATENATE(B88," - ",C88)</f>
        <v/>
      </c>
    </row>
    <row r="89" ht="12.75" customHeight="1" s="48">
      <c r="A89" s="92" t="n">
        <v>56</v>
      </c>
      <c r="B89" s="92" t="inlineStr">
        <is>
          <t>GMB</t>
        </is>
      </c>
      <c r="C89" s="92" t="inlineStr">
        <is>
          <t>Gambie</t>
        </is>
      </c>
      <c r="D89" s="92">
        <f>CONCATENATE(B89," - ",C89)</f>
        <v/>
      </c>
    </row>
    <row r="90" ht="12.75" customHeight="1" s="48">
      <c r="A90" s="92" t="n">
        <v>63</v>
      </c>
      <c r="B90" s="92" t="inlineStr">
        <is>
          <t>GNB</t>
        </is>
      </c>
      <c r="C90" s="92" t="inlineStr">
        <is>
          <t>Guinea-Bissau</t>
        </is>
      </c>
      <c r="D90" s="92">
        <f>CONCATENATE(B90," - ",C90)</f>
        <v/>
      </c>
    </row>
    <row r="91" ht="12.75" customHeight="1" s="48">
      <c r="A91" s="92" t="n">
        <v>174</v>
      </c>
      <c r="B91" s="92" t="inlineStr">
        <is>
          <t>GNQ</t>
        </is>
      </c>
      <c r="C91" s="92" t="inlineStr">
        <is>
          <t>Rovníková Guinea</t>
        </is>
      </c>
      <c r="D91" s="92">
        <f>CONCATENATE(B91," - ",C91)</f>
        <v/>
      </c>
    </row>
    <row r="92" ht="12.75" customHeight="1" s="48">
      <c r="A92" s="92" t="n">
        <v>177</v>
      </c>
      <c r="B92" s="92" t="inlineStr">
        <is>
          <t>GRC</t>
        </is>
      </c>
      <c r="C92" s="92" t="inlineStr">
        <is>
          <t>Řecko</t>
        </is>
      </c>
      <c r="D92" s="92">
        <f>CONCATENATE(B92," - ",C92)</f>
        <v/>
      </c>
    </row>
    <row r="93" ht="12.75" customHeight="1" s="48">
      <c r="A93" s="92" t="n">
        <v>58</v>
      </c>
      <c r="B93" s="92" t="inlineStr">
        <is>
          <t>GRD</t>
        </is>
      </c>
      <c r="C93" s="92" t="inlineStr">
        <is>
          <t>Grenada</t>
        </is>
      </c>
      <c r="D93" s="92">
        <f>CONCATENATE(B93," - ",C93)</f>
        <v/>
      </c>
    </row>
    <row r="94" ht="12.75" customHeight="1" s="48">
      <c r="A94" s="92" t="n">
        <v>107</v>
      </c>
      <c r="B94" s="92" t="inlineStr">
        <is>
          <t>GRL</t>
        </is>
      </c>
      <c r="C94" s="92" t="inlineStr">
        <is>
          <t>Grónsko</t>
        </is>
      </c>
      <c r="D94" s="92">
        <f>CONCATENATE(B94," - ",C94)</f>
        <v/>
      </c>
    </row>
    <row r="95" ht="12.75" customHeight="1" s="48">
      <c r="A95" s="92" t="n">
        <v>61</v>
      </c>
      <c r="B95" s="92" t="inlineStr">
        <is>
          <t>GTM</t>
        </is>
      </c>
      <c r="C95" s="92" t="inlineStr">
        <is>
          <t>Guatemala</t>
        </is>
      </c>
      <c r="D95" s="92">
        <f>CONCATENATE(B95," - ",C95)</f>
        <v/>
      </c>
    </row>
    <row r="96" ht="12.75" customHeight="1" s="48">
      <c r="A96" s="92" t="n">
        <v>192</v>
      </c>
      <c r="B96" s="92" t="inlineStr">
        <is>
          <t>GUF</t>
        </is>
      </c>
      <c r="C96" s="92" t="inlineStr">
        <is>
          <t>Francouzská Guyana</t>
        </is>
      </c>
      <c r="D96" s="92">
        <f>CONCATENATE(B96," - ",C96)</f>
        <v/>
      </c>
    </row>
    <row r="97" ht="12.75" customHeight="1" s="48">
      <c r="A97" s="92" t="n">
        <v>60</v>
      </c>
      <c r="B97" s="92" t="inlineStr">
        <is>
          <t>GUM</t>
        </is>
      </c>
      <c r="C97" s="92" t="inlineStr">
        <is>
          <t>Guam</t>
        </is>
      </c>
      <c r="D97" s="92">
        <f>CONCATENATE(B97," - ",C97)</f>
        <v/>
      </c>
    </row>
    <row r="98" ht="12.75" customHeight="1" s="48">
      <c r="A98" s="92" t="n">
        <v>196</v>
      </c>
      <c r="B98" s="92" t="inlineStr">
        <is>
          <t>GUY</t>
        </is>
      </c>
      <c r="C98" s="92" t="inlineStr">
        <is>
          <t>Guyana</t>
        </is>
      </c>
      <c r="D98" s="92">
        <f>CONCATENATE(B98," - ",C98)</f>
        <v/>
      </c>
    </row>
    <row r="99" ht="12.75" customHeight="1" s="48">
      <c r="A99" s="92" t="n">
        <v>67</v>
      </c>
      <c r="B99" s="92" t="inlineStr">
        <is>
          <t>HKG</t>
        </is>
      </c>
      <c r="C99" s="92" t="inlineStr">
        <is>
          <t>Hongkong</t>
        </is>
      </c>
      <c r="D99" s="92">
        <f>CONCATENATE(B99," - ",C99)</f>
        <v/>
      </c>
    </row>
    <row r="100" ht="12.75" customHeight="1" s="48">
      <c r="A100" s="92" t="n">
        <v>65</v>
      </c>
      <c r="B100" s="92" t="inlineStr">
        <is>
          <t>HMD</t>
        </is>
      </c>
      <c r="C100" s="92" t="inlineStr">
        <is>
          <t>Heardův ostrov a McDonaldovy ostrovy</t>
        </is>
      </c>
      <c r="D100" s="92">
        <f>CONCATENATE(B100," - ",C100)</f>
        <v/>
      </c>
    </row>
    <row r="101" ht="12.75" customHeight="1" s="48">
      <c r="A101" s="92" t="n">
        <v>66</v>
      </c>
      <c r="B101" s="92" t="inlineStr">
        <is>
          <t>HND</t>
        </is>
      </c>
      <c r="C101" s="92" t="inlineStr">
        <is>
          <t>Honduras</t>
        </is>
      </c>
      <c r="D101" s="92">
        <f>CONCATENATE(B101," - ",C101)</f>
        <v/>
      </c>
    </row>
    <row r="102" ht="12.75" customHeight="1" s="48">
      <c r="A102" s="92" t="n">
        <v>69</v>
      </c>
      <c r="B102" s="92" t="inlineStr">
        <is>
          <t>HRV</t>
        </is>
      </c>
      <c r="C102" s="92" t="inlineStr">
        <is>
          <t>Chorvatsko</t>
        </is>
      </c>
      <c r="D102" s="92">
        <f>CONCATENATE(B102," - ",C102)</f>
        <v/>
      </c>
    </row>
    <row r="103" ht="12.75" customHeight="1" s="48">
      <c r="A103" s="92" t="n">
        <v>64</v>
      </c>
      <c r="B103" s="92" t="inlineStr">
        <is>
          <t>HTI</t>
        </is>
      </c>
      <c r="C103" s="92" t="inlineStr">
        <is>
          <t>Haiti</t>
        </is>
      </c>
      <c r="D103" s="92">
        <f>CONCATENATE(B103," - ",C103)</f>
        <v/>
      </c>
    </row>
    <row r="104" ht="12.75" customHeight="1" s="48">
      <c r="A104" s="92" t="n">
        <v>129</v>
      </c>
      <c r="B104" s="92" t="inlineStr">
        <is>
          <t>HUN</t>
        </is>
      </c>
      <c r="C104" s="92" t="inlineStr">
        <is>
          <t>Maďarsko</t>
        </is>
      </c>
      <c r="D104" s="92">
        <f>CONCATENATE(B104," - ",C104)</f>
        <v/>
      </c>
    </row>
    <row r="105" ht="12.75" customHeight="1" s="48">
      <c r="A105" s="92" t="n">
        <v>216</v>
      </c>
      <c r="B105" s="92" t="inlineStr">
        <is>
          <t>CHE</t>
        </is>
      </c>
      <c r="C105" s="92" t="inlineStr">
        <is>
          <t>Švýcarsko</t>
        </is>
      </c>
      <c r="D105" s="92">
        <f>CONCATENATE(B105," - ",C105)</f>
        <v/>
      </c>
    </row>
    <row r="106" ht="12.75" customHeight="1" s="48">
      <c r="A106" s="92" t="n">
        <v>68</v>
      </c>
      <c r="B106" s="92" t="inlineStr">
        <is>
          <t>CHL</t>
        </is>
      </c>
      <c r="C106" s="92" t="inlineStr">
        <is>
          <t>Chile</t>
        </is>
      </c>
      <c r="D106" s="92">
        <f>CONCATENATE(B106," - ",C106)</f>
        <v/>
      </c>
    </row>
    <row r="107" ht="12.75" customHeight="1" s="48">
      <c r="A107" s="92" t="n">
        <v>39</v>
      </c>
      <c r="B107" s="92" t="inlineStr">
        <is>
          <t>CHN</t>
        </is>
      </c>
      <c r="C107" s="92" t="inlineStr">
        <is>
          <t>Čína</t>
        </is>
      </c>
      <c r="D107" s="92">
        <f>CONCATENATE(B107," - ",C107)</f>
        <v/>
      </c>
    </row>
    <row r="108" ht="12.75" customHeight="1" s="48">
      <c r="A108" s="92" t="n">
        <v>70</v>
      </c>
      <c r="B108" s="92" t="inlineStr">
        <is>
          <t>IDN</t>
        </is>
      </c>
      <c r="C108" s="92" t="inlineStr">
        <is>
          <t>Indonésie</t>
        </is>
      </c>
      <c r="D108" s="92">
        <f>CONCATENATE(B108," - ",C108)</f>
        <v/>
      </c>
    </row>
    <row r="109" ht="12.75" customHeight="1" s="48">
      <c r="A109" s="92" t="n">
        <v>246</v>
      </c>
      <c r="B109" s="92" t="inlineStr">
        <is>
          <t>IMY</t>
        </is>
      </c>
      <c r="C109" s="92" t="inlineStr">
        <is>
          <t>ostrov Man</t>
        </is>
      </c>
      <c r="D109" s="92">
        <f>CONCATENATE(B109," - ",C109)</f>
        <v/>
      </c>
    </row>
    <row r="110" ht="12.75" customHeight="1" s="48">
      <c r="A110" s="92" t="n">
        <v>197</v>
      </c>
      <c r="B110" s="92" t="inlineStr">
        <is>
          <t>IND</t>
        </is>
      </c>
      <c r="C110" s="92" t="inlineStr">
        <is>
          <t>Indie</t>
        </is>
      </c>
      <c r="D110" s="92">
        <f>CONCATENATE(B110," - ",C110)</f>
        <v/>
      </c>
    </row>
    <row r="111" ht="12.75" customHeight="1" s="48">
      <c r="A111" s="92" t="n">
        <v>30</v>
      </c>
      <c r="B111" s="92" t="inlineStr">
        <is>
          <t>IOT</t>
        </is>
      </c>
      <c r="C111" s="92" t="inlineStr">
        <is>
          <t>Britské indickooceánské území</t>
        </is>
      </c>
      <c r="D111" s="92">
        <f>CONCATENATE(B111," - ",C111)</f>
        <v/>
      </c>
    </row>
    <row r="112" ht="12.75" customHeight="1" s="48">
      <c r="A112" s="92" t="n">
        <v>73</v>
      </c>
      <c r="B112" s="92" t="inlineStr">
        <is>
          <t>IRL</t>
        </is>
      </c>
      <c r="C112" s="92" t="inlineStr">
        <is>
          <t>Irsko</t>
        </is>
      </c>
      <c r="D112" s="92">
        <f>CONCATENATE(B112," - ",C112)</f>
        <v/>
      </c>
    </row>
    <row r="113" ht="12.75" customHeight="1" s="48">
      <c r="A113" s="92" t="n">
        <v>72</v>
      </c>
      <c r="B113" s="92" t="inlineStr">
        <is>
          <t>IRN</t>
        </is>
      </c>
      <c r="C113" s="92" t="inlineStr">
        <is>
          <t>Írán</t>
        </is>
      </c>
      <c r="D113" s="92">
        <f>CONCATENATE(B113," - ",C113)</f>
        <v/>
      </c>
    </row>
    <row r="114" ht="12.75" customHeight="1" s="48">
      <c r="A114" s="92" t="n">
        <v>71</v>
      </c>
      <c r="B114" s="92" t="inlineStr">
        <is>
          <t>IRQ</t>
        </is>
      </c>
      <c r="C114" s="92" t="inlineStr">
        <is>
          <t>Irák</t>
        </is>
      </c>
      <c r="D114" s="92">
        <f>CONCATENATE(B114," - ",C114)</f>
        <v/>
      </c>
    </row>
    <row r="115" ht="12.75" customHeight="1" s="48">
      <c r="A115" s="92" t="n">
        <v>74</v>
      </c>
      <c r="B115" s="92" t="inlineStr">
        <is>
          <t>ISL</t>
        </is>
      </c>
      <c r="C115" s="92" t="inlineStr">
        <is>
          <t>Island</t>
        </is>
      </c>
      <c r="D115" s="92">
        <f>CONCATENATE(B115," - ",C115)</f>
        <v/>
      </c>
    </row>
    <row r="116" ht="12.75" customHeight="1" s="48">
      <c r="A116" s="92" t="n">
        <v>76</v>
      </c>
      <c r="B116" s="92" t="inlineStr">
        <is>
          <t>ISR</t>
        </is>
      </c>
      <c r="C116" s="92" t="inlineStr">
        <is>
          <t>Izrael</t>
        </is>
      </c>
      <c r="D116" s="92">
        <f>CONCATENATE(B116," - ",C116)</f>
        <v/>
      </c>
    </row>
    <row r="117" ht="12.75" customHeight="1" s="48">
      <c r="A117" s="92" t="n">
        <v>75</v>
      </c>
      <c r="B117" s="92" t="inlineStr">
        <is>
          <t>ITA</t>
        </is>
      </c>
      <c r="C117" s="92" t="inlineStr">
        <is>
          <t>Itálie</t>
        </is>
      </c>
      <c r="D117" s="92">
        <f>CONCATENATE(B117," - ",C117)</f>
        <v/>
      </c>
    </row>
    <row r="118" ht="12.75" customHeight="1" s="48">
      <c r="A118" s="92" t="n">
        <v>77</v>
      </c>
      <c r="B118" s="92" t="inlineStr">
        <is>
          <t>JAM</t>
        </is>
      </c>
      <c r="C118" s="92" t="inlineStr">
        <is>
          <t>Jamajka</t>
        </is>
      </c>
      <c r="D118" s="92">
        <f>CONCATENATE(B118," - ",C118)</f>
        <v/>
      </c>
    </row>
    <row r="119" ht="12.75" customHeight="1" s="48">
      <c r="A119" s="92" t="n">
        <v>199</v>
      </c>
      <c r="B119" s="92" t="inlineStr">
        <is>
          <t>JOR</t>
        </is>
      </c>
      <c r="C119" s="92" t="inlineStr">
        <is>
          <t>Jordánsko</t>
        </is>
      </c>
      <c r="D119" s="92">
        <f>CONCATENATE(B119," - ",C119)</f>
        <v/>
      </c>
    </row>
    <row r="120" ht="12.75" customHeight="1" s="48">
      <c r="A120" s="92" t="n">
        <v>198</v>
      </c>
      <c r="B120" s="92" t="inlineStr">
        <is>
          <t>JPN</t>
        </is>
      </c>
      <c r="C120" s="92" t="inlineStr">
        <is>
          <t>Japonsko</t>
        </is>
      </c>
      <c r="D120" s="92">
        <f>CONCATENATE(B120," - ",C120)</f>
        <v/>
      </c>
    </row>
    <row r="121" ht="12.75" customHeight="1" s="48">
      <c r="A121" s="92" t="n">
        <v>87</v>
      </c>
      <c r="B121" s="92" t="inlineStr">
        <is>
          <t>KAZ</t>
        </is>
      </c>
      <c r="C121" s="92" t="inlineStr">
        <is>
          <t>Kazachstán</t>
        </is>
      </c>
      <c r="D121" s="92">
        <f>CONCATENATE(B121," - ",C121)</f>
        <v/>
      </c>
    </row>
    <row r="122" ht="12.75" customHeight="1" s="48">
      <c r="A122" s="92" t="n">
        <v>88</v>
      </c>
      <c r="B122" s="92" t="inlineStr">
        <is>
          <t>KEN</t>
        </is>
      </c>
      <c r="C122" s="92" t="inlineStr">
        <is>
          <t>Keňa</t>
        </is>
      </c>
      <c r="D122" s="92">
        <f>CONCATENATE(B122," - ",C122)</f>
        <v/>
      </c>
    </row>
    <row r="123" ht="12.75" customHeight="1" s="48">
      <c r="A123" s="92" t="n">
        <v>118</v>
      </c>
      <c r="B123" s="92" t="inlineStr">
        <is>
          <t>KGZ</t>
        </is>
      </c>
      <c r="C123" s="92" t="inlineStr">
        <is>
          <t>Kyrgyzstán</t>
        </is>
      </c>
      <c r="D123" s="92">
        <f>CONCATENATE(B123," - ",C123)</f>
        <v/>
      </c>
    </row>
    <row r="124" ht="12.75" customHeight="1" s="48">
      <c r="A124" s="92" t="n">
        <v>83</v>
      </c>
      <c r="B124" s="92" t="inlineStr">
        <is>
          <t>KHM</t>
        </is>
      </c>
      <c r="C124" s="92" t="inlineStr">
        <is>
          <t>Kambodža</t>
        </is>
      </c>
      <c r="D124" s="92">
        <f>CONCATENATE(B124," - ",C124)</f>
        <v/>
      </c>
    </row>
    <row r="125" ht="12.75" customHeight="1" s="48">
      <c r="A125" s="92" t="n">
        <v>89</v>
      </c>
      <c r="B125" s="92" t="inlineStr">
        <is>
          <t>KIR</t>
        </is>
      </c>
      <c r="C125" s="92" t="inlineStr">
        <is>
          <t>Kiribati</t>
        </is>
      </c>
      <c r="D125" s="92">
        <f>CONCATENATE(B125," - ",C125)</f>
        <v/>
      </c>
    </row>
    <row r="126" ht="12.75" customHeight="1" s="48">
      <c r="A126" s="92" t="n">
        <v>207</v>
      </c>
      <c r="B126" s="92" t="inlineStr">
        <is>
          <t>KNA</t>
        </is>
      </c>
      <c r="C126" s="92" t="inlineStr">
        <is>
          <t>Svatý Kryštof a Nevis</t>
        </is>
      </c>
      <c r="D126" s="92">
        <f>CONCATENATE(B126," - ",C126)</f>
        <v/>
      </c>
    </row>
    <row r="127" ht="12.75" customHeight="1" s="48">
      <c r="A127" s="92" t="n">
        <v>112</v>
      </c>
      <c r="B127" s="92" t="inlineStr">
        <is>
          <t>KOR</t>
        </is>
      </c>
      <c r="C127" s="92" t="inlineStr">
        <is>
          <t>Korea</t>
        </is>
      </c>
      <c r="D127" s="92">
        <f>CONCATENATE(B127," - ",C127)</f>
        <v/>
      </c>
    </row>
    <row r="128" ht="12.75" customHeight="1" s="48">
      <c r="A128" s="92" t="n">
        <v>116</v>
      </c>
      <c r="B128" s="92" t="inlineStr">
        <is>
          <t>KWT</t>
        </is>
      </c>
      <c r="C128" s="92" t="inlineStr">
        <is>
          <t>Kuvajt</t>
        </is>
      </c>
      <c r="D128" s="92">
        <f>CONCATENATE(B128," - ",C128)</f>
        <v/>
      </c>
    </row>
    <row r="129" ht="12.75" customHeight="1" s="48">
      <c r="A129" s="92" t="n">
        <v>119</v>
      </c>
      <c r="B129" s="92" t="inlineStr">
        <is>
          <t>LAO</t>
        </is>
      </c>
      <c r="C129" s="92" t="inlineStr">
        <is>
          <t>Laos</t>
        </is>
      </c>
      <c r="D129" s="92">
        <f>CONCATENATE(B129," - ",C129)</f>
        <v/>
      </c>
    </row>
    <row r="130" ht="12.75" customHeight="1" s="48">
      <c r="A130" s="92" t="n">
        <v>121</v>
      </c>
      <c r="B130" s="92" t="inlineStr">
        <is>
          <t>LBN</t>
        </is>
      </c>
      <c r="C130" s="92" t="inlineStr">
        <is>
          <t>Libanon</t>
        </is>
      </c>
      <c r="D130" s="92">
        <f>CONCATENATE(B130," - ",C130)</f>
        <v/>
      </c>
    </row>
    <row r="131" ht="12.75" customHeight="1" s="48">
      <c r="A131" s="92" t="n">
        <v>122</v>
      </c>
      <c r="B131" s="92" t="inlineStr">
        <is>
          <t>LBR</t>
        </is>
      </c>
      <c r="C131" s="92" t="inlineStr">
        <is>
          <t>Libérie</t>
        </is>
      </c>
      <c r="D131" s="92">
        <f>CONCATENATE(B131," - ",C131)</f>
        <v/>
      </c>
    </row>
    <row r="132" ht="12.75" customHeight="1" s="48">
      <c r="A132" s="92" t="n">
        <v>123</v>
      </c>
      <c r="B132" s="92" t="inlineStr">
        <is>
          <t>LBY</t>
        </is>
      </c>
      <c r="C132" s="92" t="inlineStr">
        <is>
          <t>Libye</t>
        </is>
      </c>
      <c r="D132" s="92">
        <f>CONCATENATE(B132," - ",C132)</f>
        <v/>
      </c>
    </row>
    <row r="133" ht="12.75" customHeight="1" s="48">
      <c r="A133" s="92" t="n">
        <v>103</v>
      </c>
      <c r="B133" s="92" t="inlineStr">
        <is>
          <t>LCA</t>
        </is>
      </c>
      <c r="C133" s="92" t="inlineStr">
        <is>
          <t>Svatá Lucie</t>
        </is>
      </c>
      <c r="D133" s="92">
        <f>CONCATENATE(B133," - ",C133)</f>
        <v/>
      </c>
    </row>
    <row r="134" ht="12.75" customHeight="1" s="48">
      <c r="A134" s="92" t="n">
        <v>124</v>
      </c>
      <c r="B134" s="92" t="inlineStr">
        <is>
          <t>LIE</t>
        </is>
      </c>
      <c r="C134" s="92" t="inlineStr">
        <is>
          <t>Lichtenštejnsko</t>
        </is>
      </c>
      <c r="D134" s="92">
        <f>CONCATENATE(B134," - ",C134)</f>
        <v/>
      </c>
    </row>
    <row r="135" ht="12.75" customHeight="1" s="48">
      <c r="A135" s="92" t="n">
        <v>191</v>
      </c>
      <c r="B135" s="92" t="inlineStr">
        <is>
          <t>LKA</t>
        </is>
      </c>
      <c r="C135" s="92" t="inlineStr">
        <is>
          <t>Srí Lanka</t>
        </is>
      </c>
      <c r="D135" s="92">
        <f>CONCATENATE(B135," - ",C135)</f>
        <v/>
      </c>
    </row>
    <row r="136" ht="12.75" customHeight="1" s="48">
      <c r="A136" s="92" t="n">
        <v>120</v>
      </c>
      <c r="B136" s="92" t="inlineStr">
        <is>
          <t>LSO</t>
        </is>
      </c>
      <c r="C136" s="92" t="inlineStr">
        <is>
          <t>Lesotho</t>
        </is>
      </c>
      <c r="D136" s="92">
        <f>CONCATENATE(B136," - ",C136)</f>
        <v/>
      </c>
    </row>
    <row r="137" ht="12.75" customHeight="1" s="48">
      <c r="A137" s="92" t="n">
        <v>125</v>
      </c>
      <c r="B137" s="92" t="inlineStr">
        <is>
          <t>LTU</t>
        </is>
      </c>
      <c r="C137" s="92" t="inlineStr">
        <is>
          <t>Litva</t>
        </is>
      </c>
      <c r="D137" s="92">
        <f>CONCATENATE(B137," - ",C137)</f>
        <v/>
      </c>
    </row>
    <row r="138" ht="12.75" customHeight="1" s="48">
      <c r="A138" s="92" t="n">
        <v>126</v>
      </c>
      <c r="B138" s="92" t="inlineStr">
        <is>
          <t>LUX</t>
        </is>
      </c>
      <c r="C138" s="92" t="inlineStr">
        <is>
          <t>Lucembursko</t>
        </is>
      </c>
      <c r="D138" s="92">
        <f>CONCATENATE(B138," - ",C138)</f>
        <v/>
      </c>
    </row>
    <row r="139" ht="12.75" customHeight="1" s="48">
      <c r="A139" s="92" t="n">
        <v>109</v>
      </c>
      <c r="B139" s="92" t="inlineStr">
        <is>
          <t>LVA</t>
        </is>
      </c>
      <c r="C139" s="92" t="inlineStr">
        <is>
          <t>Lotyšsko</t>
        </is>
      </c>
      <c r="D139" s="92">
        <f>CONCATENATE(B139," - ",C139)</f>
        <v/>
      </c>
    </row>
    <row r="140" ht="12.75" customHeight="1" s="48">
      <c r="A140" s="92" t="n">
        <v>127</v>
      </c>
      <c r="B140" s="92" t="inlineStr">
        <is>
          <t>MAC</t>
        </is>
      </c>
      <c r="C140" s="92" t="inlineStr">
        <is>
          <t>Macao</t>
        </is>
      </c>
      <c r="D140" s="92">
        <f>CONCATENATE(B140," - ",C140)</f>
        <v/>
      </c>
    </row>
    <row r="141" ht="12.75" customHeight="1" s="48">
      <c r="A141" s="92" t="n">
        <v>279</v>
      </c>
      <c r="B141" s="92" t="inlineStr">
        <is>
          <t>MAF</t>
        </is>
      </c>
      <c r="C141" s="92" t="inlineStr">
        <is>
          <t>Saint Martin</t>
        </is>
      </c>
      <c r="D141" s="92">
        <f>CONCATENATE(B141," - ",C141)</f>
        <v/>
      </c>
    </row>
    <row r="142" ht="12.75" customHeight="1" s="48">
      <c r="A142" s="92" t="n">
        <v>136</v>
      </c>
      <c r="B142" s="92" t="inlineStr">
        <is>
          <t>MAR</t>
        </is>
      </c>
      <c r="C142" s="92" t="inlineStr">
        <is>
          <t>Maroko</t>
        </is>
      </c>
      <c r="D142" s="92">
        <f>CONCATENATE(B142," - ",C142)</f>
        <v/>
      </c>
    </row>
    <row r="143" ht="12.75" customHeight="1" s="48">
      <c r="A143" s="92" t="n">
        <v>94</v>
      </c>
      <c r="B143" s="92" t="inlineStr">
        <is>
          <t>MCO</t>
        </is>
      </c>
      <c r="C143" s="92" t="inlineStr">
        <is>
          <t>Monako</t>
        </is>
      </c>
      <c r="D143" s="92">
        <f>CONCATENATE(B143," - ",C143)</f>
        <v/>
      </c>
    </row>
    <row r="144" ht="12.75" customHeight="1" s="48">
      <c r="A144" s="92" t="n">
        <v>145</v>
      </c>
      <c r="B144" s="92" t="inlineStr">
        <is>
          <t>MDA</t>
        </is>
      </c>
      <c r="C144" s="92" t="inlineStr">
        <is>
          <t>Moldavsko</t>
        </is>
      </c>
      <c r="D144" s="92">
        <f>CONCATENATE(B144," - ",C144)</f>
        <v/>
      </c>
    </row>
    <row r="145" ht="12.75" customHeight="1" s="48">
      <c r="A145" s="92" t="n">
        <v>128</v>
      </c>
      <c r="B145" s="92" t="inlineStr">
        <is>
          <t>MDG</t>
        </is>
      </c>
      <c r="C145" s="92" t="inlineStr">
        <is>
          <t>Madagaskar</t>
        </is>
      </c>
      <c r="D145" s="92">
        <f>CONCATENATE(B145," - ",C145)</f>
        <v/>
      </c>
    </row>
    <row r="146" ht="12.75" customHeight="1" s="48">
      <c r="A146" s="92" t="n">
        <v>133</v>
      </c>
      <c r="B146" s="92" t="inlineStr">
        <is>
          <t>MDV</t>
        </is>
      </c>
      <c r="C146" s="92" t="inlineStr">
        <is>
          <t>Maledivy</t>
        </is>
      </c>
      <c r="D146" s="92">
        <f>CONCATENATE(B146," - ",C146)</f>
        <v/>
      </c>
    </row>
    <row r="147" ht="12.75" customHeight="1" s="48">
      <c r="A147" s="92" t="n">
        <v>143</v>
      </c>
      <c r="B147" s="92" t="inlineStr">
        <is>
          <t>MEX</t>
        </is>
      </c>
      <c r="C147" s="92" t="inlineStr">
        <is>
          <t>Mexiko</t>
        </is>
      </c>
      <c r="D147" s="92">
        <f>CONCATENATE(B147," - ",C147)</f>
        <v/>
      </c>
    </row>
    <row r="148" ht="12.75" customHeight="1" s="48">
      <c r="A148" s="92" t="n">
        <v>137</v>
      </c>
      <c r="B148" s="92" t="inlineStr">
        <is>
          <t>MHL</t>
        </is>
      </c>
      <c r="C148" s="92" t="inlineStr">
        <is>
          <t>Marshallovy ostrovy</t>
        </is>
      </c>
      <c r="D148" s="92">
        <f>CONCATENATE(B148," - ",C148)</f>
        <v/>
      </c>
    </row>
    <row r="149" ht="12.75" customHeight="1" s="48">
      <c r="A149" s="92" t="n">
        <v>130</v>
      </c>
      <c r="B149" s="92" t="inlineStr">
        <is>
          <t>MKD</t>
        </is>
      </c>
      <c r="C149" s="92" t="inlineStr">
        <is>
          <t>Makedonie</t>
        </is>
      </c>
      <c r="D149" s="92">
        <f>CONCATENATE(B149," - ",C149)</f>
        <v/>
      </c>
    </row>
    <row r="150" ht="12.75" customHeight="1" s="48">
      <c r="A150" s="92" t="n">
        <v>134</v>
      </c>
      <c r="B150" s="92" t="inlineStr">
        <is>
          <t>MLI</t>
        </is>
      </c>
      <c r="C150" s="92" t="inlineStr">
        <is>
          <t>Mali</t>
        </is>
      </c>
      <c r="D150" s="92">
        <f>CONCATENATE(B150," - ",C150)</f>
        <v/>
      </c>
    </row>
    <row r="151" ht="12.75" customHeight="1" s="48">
      <c r="A151" s="92" t="n">
        <v>135</v>
      </c>
      <c r="B151" s="92" t="inlineStr">
        <is>
          <t>MLT</t>
        </is>
      </c>
      <c r="C151" s="92" t="inlineStr">
        <is>
          <t>Malta</t>
        </is>
      </c>
      <c r="D151" s="92">
        <f>CONCATENATE(B151," - ",C151)</f>
        <v/>
      </c>
    </row>
    <row r="152" ht="12.75" customHeight="1" s="48">
      <c r="A152" s="92" t="n">
        <v>273</v>
      </c>
      <c r="B152" s="92" t="inlineStr">
        <is>
          <t>MMR</t>
        </is>
      </c>
      <c r="C152" s="92" t="inlineStr">
        <is>
          <t>Myanmar</t>
        </is>
      </c>
      <c r="D152" s="92">
        <f>CONCATENATE(B152," - ",C152)</f>
        <v/>
      </c>
    </row>
    <row r="153" ht="12.75" customHeight="1" s="48">
      <c r="A153" s="92" t="n">
        <v>149</v>
      </c>
      <c r="B153" s="92" t="inlineStr">
        <is>
          <t>MNE</t>
        </is>
      </c>
      <c r="C153" s="92" t="inlineStr">
        <is>
          <t>Černá Hora</t>
        </is>
      </c>
      <c r="D153" s="92">
        <f>CONCATENATE(B153," - ",C153)</f>
        <v/>
      </c>
    </row>
    <row r="154" ht="12.75" customHeight="1" s="48">
      <c r="A154" s="92" t="n">
        <v>146</v>
      </c>
      <c r="B154" s="92" t="inlineStr">
        <is>
          <t>MNG</t>
        </is>
      </c>
      <c r="C154" s="92" t="inlineStr">
        <is>
          <t>Mongolsko</t>
        </is>
      </c>
      <c r="D154" s="92">
        <f>CONCATENATE(B154," - ",C154)</f>
        <v/>
      </c>
    </row>
    <row r="155" ht="12.75" customHeight="1" s="48">
      <c r="A155" s="92" t="n">
        <v>183</v>
      </c>
      <c r="B155" s="92" t="inlineStr">
        <is>
          <t>MNP</t>
        </is>
      </c>
      <c r="C155" s="92" t="inlineStr">
        <is>
          <t>Severní Mariany</t>
        </is>
      </c>
      <c r="D155" s="92">
        <f>CONCATENATE(B155," - ",C155)</f>
        <v/>
      </c>
    </row>
    <row r="156" ht="12.75" customHeight="1" s="48">
      <c r="A156" s="92" t="n">
        <v>148</v>
      </c>
      <c r="B156" s="92" t="inlineStr">
        <is>
          <t>MOZ</t>
        </is>
      </c>
      <c r="C156" s="92" t="inlineStr">
        <is>
          <t>Mosambik</t>
        </is>
      </c>
      <c r="D156" s="92">
        <f>CONCATENATE(B156," - ",C156)</f>
        <v/>
      </c>
    </row>
    <row r="157" ht="12.75" customHeight="1" s="48">
      <c r="A157" s="92" t="n">
        <v>139</v>
      </c>
      <c r="B157" s="92" t="inlineStr">
        <is>
          <t>MRT</t>
        </is>
      </c>
      <c r="C157" s="92" t="inlineStr">
        <is>
          <t>Mauritánie</t>
        </is>
      </c>
      <c r="D157" s="92">
        <f>CONCATENATE(B157," - ",C157)</f>
        <v/>
      </c>
    </row>
    <row r="158" ht="12.75" customHeight="1" s="48">
      <c r="A158" s="92" t="n">
        <v>147</v>
      </c>
      <c r="B158" s="92" t="inlineStr">
        <is>
          <t>MSR</t>
        </is>
      </c>
      <c r="C158" s="92" t="inlineStr">
        <is>
          <t>Montserrat</t>
        </is>
      </c>
      <c r="D158" s="92">
        <f>CONCATENATE(B158," - ",C158)</f>
        <v/>
      </c>
    </row>
    <row r="159" ht="12.75" customHeight="1" s="48">
      <c r="A159" s="92" t="n">
        <v>256</v>
      </c>
      <c r="B159" s="92" t="inlineStr">
        <is>
          <t>MTQ</t>
        </is>
      </c>
      <c r="C159" s="92" t="inlineStr">
        <is>
          <t>Martinik</t>
        </is>
      </c>
      <c r="D159" s="92">
        <f>CONCATENATE(B159," - ",C159)</f>
        <v/>
      </c>
    </row>
    <row r="160" ht="12.75" customHeight="1" s="48">
      <c r="A160" s="92" t="n">
        <v>138</v>
      </c>
      <c r="B160" s="92" t="inlineStr">
        <is>
          <t>MUS</t>
        </is>
      </c>
      <c r="C160" s="92" t="inlineStr">
        <is>
          <t>Mauricius</t>
        </is>
      </c>
      <c r="D160" s="92">
        <f>CONCATENATE(B160," - ",C160)</f>
        <v/>
      </c>
    </row>
    <row r="161" ht="12.75" customHeight="1" s="48">
      <c r="A161" s="92" t="n">
        <v>132</v>
      </c>
      <c r="B161" s="92" t="inlineStr">
        <is>
          <t>MWI</t>
        </is>
      </c>
      <c r="C161" s="92" t="inlineStr">
        <is>
          <t>Malawi</t>
        </is>
      </c>
      <c r="D161" s="92">
        <f>CONCATENATE(B161," - ",C161)</f>
        <v/>
      </c>
    </row>
    <row r="162" ht="12.75" customHeight="1" s="48">
      <c r="A162" s="92" t="n">
        <v>131</v>
      </c>
      <c r="B162" s="92" t="inlineStr">
        <is>
          <t>MYS</t>
        </is>
      </c>
      <c r="C162" s="92" t="inlineStr">
        <is>
          <t>Malajsie</t>
        </is>
      </c>
      <c r="D162" s="92">
        <f>CONCATENATE(B162," - ",C162)</f>
        <v/>
      </c>
    </row>
    <row r="163" ht="12.75" customHeight="1" s="48">
      <c r="A163" s="92" t="n">
        <v>140</v>
      </c>
      <c r="B163" s="92" t="inlineStr">
        <is>
          <t>MYT</t>
        </is>
      </c>
      <c r="C163" s="92" t="inlineStr">
        <is>
          <t>Mayotte</t>
        </is>
      </c>
      <c r="D163" s="92">
        <f>CONCATENATE(B163," - ",C163)</f>
        <v/>
      </c>
    </row>
    <row r="164" ht="12.75" customHeight="1" s="48">
      <c r="A164" s="92" t="n">
        <v>150</v>
      </c>
      <c r="B164" s="92" t="inlineStr">
        <is>
          <t>NAM</t>
        </is>
      </c>
      <c r="C164" s="92" t="inlineStr">
        <is>
          <t>Namibie</t>
        </is>
      </c>
      <c r="D164" s="92">
        <f>CONCATENATE(B164," - ",C164)</f>
        <v/>
      </c>
    </row>
    <row r="165" ht="12.75" customHeight="1" s="48">
      <c r="A165" s="92" t="n">
        <v>160</v>
      </c>
      <c r="B165" s="92" t="inlineStr">
        <is>
          <t>NCL</t>
        </is>
      </c>
      <c r="C165" s="92" t="inlineStr">
        <is>
          <t>Nová Kaledonie</t>
        </is>
      </c>
      <c r="D165" s="92">
        <f>CONCATENATE(B165," - ",C165)</f>
        <v/>
      </c>
    </row>
    <row r="166" ht="12.75" customHeight="1" s="48">
      <c r="A166" s="92" t="n">
        <v>154</v>
      </c>
      <c r="B166" s="92" t="inlineStr">
        <is>
          <t>NER</t>
        </is>
      </c>
      <c r="C166" s="92" t="inlineStr">
        <is>
          <t>Niger</t>
        </is>
      </c>
      <c r="D166" s="92">
        <f>CONCATENATE(B166," - ",C166)</f>
        <v/>
      </c>
    </row>
    <row r="167" ht="12.75" customHeight="1" s="48">
      <c r="A167" s="92" t="n">
        <v>110</v>
      </c>
      <c r="B167" s="92" t="inlineStr">
        <is>
          <t>NFK</t>
        </is>
      </c>
      <c r="C167" s="92" t="inlineStr">
        <is>
          <t>Norfolk</t>
        </is>
      </c>
      <c r="D167" s="92">
        <f>CONCATENATE(B167," - ",C167)</f>
        <v/>
      </c>
    </row>
    <row r="168" ht="12.75" customHeight="1" s="48">
      <c r="A168" s="92" t="n">
        <v>155</v>
      </c>
      <c r="B168" s="92" t="inlineStr">
        <is>
          <t>NGA</t>
        </is>
      </c>
      <c r="C168" s="92" t="inlineStr">
        <is>
          <t>Nigérie</t>
        </is>
      </c>
      <c r="D168" s="92">
        <f>CONCATENATE(B168," - ",C168)</f>
        <v/>
      </c>
    </row>
    <row r="169" ht="12.75" customHeight="1" s="48">
      <c r="A169" s="92" t="n">
        <v>156</v>
      </c>
      <c r="B169" s="92" t="inlineStr">
        <is>
          <t>NIC</t>
        </is>
      </c>
      <c r="C169" s="92" t="inlineStr">
        <is>
          <t>Nikaragua</t>
        </is>
      </c>
      <c r="D169" s="92">
        <f>CONCATENATE(B169," - ",C169)</f>
        <v/>
      </c>
    </row>
    <row r="170" ht="12.75" customHeight="1" s="48">
      <c r="A170" s="92" t="n">
        <v>157</v>
      </c>
      <c r="B170" s="92" t="inlineStr">
        <is>
          <t>NIU</t>
        </is>
      </c>
      <c r="C170" s="92" t="inlineStr">
        <is>
          <t>Niue</t>
        </is>
      </c>
      <c r="D170" s="92">
        <f>CONCATENATE(B170," - ",C170)</f>
        <v/>
      </c>
    </row>
    <row r="171" ht="12.75" customHeight="1" s="48">
      <c r="A171" s="92" t="n">
        <v>158</v>
      </c>
      <c r="B171" s="92" t="inlineStr">
        <is>
          <t>NLD</t>
        </is>
      </c>
      <c r="C171" s="92" t="inlineStr">
        <is>
          <t>Nizozemsko</t>
        </is>
      </c>
      <c r="D171" s="92">
        <f>CONCATENATE(B171," - ",C171)</f>
        <v/>
      </c>
    </row>
    <row r="172" ht="12.75" customHeight="1" s="48">
      <c r="A172" s="92" t="n">
        <v>159</v>
      </c>
      <c r="B172" s="92" t="inlineStr">
        <is>
          <t>NOR</t>
        </is>
      </c>
      <c r="C172" s="92" t="inlineStr">
        <is>
          <t>Norsko</t>
        </is>
      </c>
      <c r="D172" s="92">
        <f>CONCATENATE(B172," - ",C172)</f>
        <v/>
      </c>
    </row>
    <row r="173" ht="12.75" customHeight="1" s="48">
      <c r="A173" s="92" t="n">
        <v>153</v>
      </c>
      <c r="B173" s="92" t="inlineStr">
        <is>
          <t>NPL</t>
        </is>
      </c>
      <c r="C173" s="92" t="inlineStr">
        <is>
          <t>Nepál</t>
        </is>
      </c>
      <c r="D173" s="92">
        <f>CONCATENATE(B173," - ",C173)</f>
        <v/>
      </c>
    </row>
    <row r="174" ht="12.75" customHeight="1" s="48">
      <c r="A174" s="92" t="n">
        <v>151</v>
      </c>
      <c r="B174" s="92" t="inlineStr">
        <is>
          <t>NRU</t>
        </is>
      </c>
      <c r="C174" s="92" t="inlineStr">
        <is>
          <t>Nauru</t>
        </is>
      </c>
      <c r="D174" s="92">
        <f>CONCATENATE(B174," - ",C174)</f>
        <v/>
      </c>
    </row>
    <row r="175" ht="12.75" customHeight="1" s="48">
      <c r="A175" s="92" t="n">
        <v>247</v>
      </c>
      <c r="B175" s="92" t="inlineStr">
        <is>
          <t>NTZ</t>
        </is>
      </c>
      <c r="C175" s="92" t="inlineStr">
        <is>
          <t>neutrální zóna</t>
        </is>
      </c>
      <c r="D175" s="92">
        <f>CONCATENATE(B175," - ",C175)</f>
        <v/>
      </c>
    </row>
    <row r="176" ht="12.75" customHeight="1" s="48">
      <c r="A176" s="92" t="n">
        <v>161</v>
      </c>
      <c r="B176" s="92" t="inlineStr">
        <is>
          <t>NZL</t>
        </is>
      </c>
      <c r="C176" s="92" t="inlineStr">
        <is>
          <t>Nový Zéland</t>
        </is>
      </c>
      <c r="D176" s="92">
        <f>CONCATENATE(B176," - ",C176)</f>
        <v/>
      </c>
    </row>
    <row r="177" ht="12.75" customHeight="1" s="48">
      <c r="A177" s="92" t="n">
        <v>163</v>
      </c>
      <c r="B177" s="92" t="inlineStr">
        <is>
          <t>OMN</t>
        </is>
      </c>
      <c r="C177" s="92" t="inlineStr">
        <is>
          <t>Omán</t>
        </is>
      </c>
      <c r="D177" s="92">
        <f>CONCATENATE(B177," - ",C177)</f>
        <v/>
      </c>
    </row>
    <row r="178" ht="12.75" customHeight="1" s="48">
      <c r="A178" s="92" t="n">
        <v>164</v>
      </c>
      <c r="B178" s="92" t="inlineStr">
        <is>
          <t>PAK</t>
        </is>
      </c>
      <c r="C178" s="92" t="inlineStr">
        <is>
          <t>Pákistán</t>
        </is>
      </c>
      <c r="D178" s="92">
        <f>CONCATENATE(B178," - ",C178)</f>
        <v/>
      </c>
    </row>
    <row r="179" ht="12.75" customHeight="1" s="48">
      <c r="A179" s="92" t="n">
        <v>166</v>
      </c>
      <c r="B179" s="92" t="inlineStr">
        <is>
          <t>PAN</t>
        </is>
      </c>
      <c r="C179" s="92" t="inlineStr">
        <is>
          <t>Panama</t>
        </is>
      </c>
      <c r="D179" s="92">
        <f>CONCATENATE(B179," - ",C179)</f>
        <v/>
      </c>
    </row>
    <row r="180" ht="12.75" customHeight="1" s="48">
      <c r="A180" s="92" t="n">
        <v>248</v>
      </c>
      <c r="B180" s="92" t="inlineStr">
        <is>
          <t>PCI</t>
        </is>
      </c>
      <c r="C180" s="92" t="inlineStr">
        <is>
          <t>Tichomořské ostrovy</t>
        </is>
      </c>
      <c r="D180" s="92">
        <f>CONCATENATE(B180," - ",C180)</f>
        <v/>
      </c>
    </row>
    <row r="181" ht="12.75" customHeight="1" s="48">
      <c r="A181" s="92" t="n">
        <v>169</v>
      </c>
      <c r="B181" s="92" t="inlineStr">
        <is>
          <t>PCN</t>
        </is>
      </c>
      <c r="C181" s="92" t="inlineStr">
        <is>
          <t>Pitcairn</t>
        </is>
      </c>
      <c r="D181" s="92">
        <f>CONCATENATE(B181," - ",C181)</f>
        <v/>
      </c>
    </row>
    <row r="182" ht="12.75" customHeight="1" s="48">
      <c r="A182" s="92" t="n">
        <v>168</v>
      </c>
      <c r="B182" s="92" t="inlineStr">
        <is>
          <t>PER</t>
        </is>
      </c>
      <c r="C182" s="92" t="inlineStr">
        <is>
          <t>Peru</t>
        </is>
      </c>
      <c r="D182" s="92">
        <f>CONCATENATE(B182," - ",C182)</f>
        <v/>
      </c>
    </row>
    <row r="183" ht="12.75" customHeight="1" s="48">
      <c r="A183" s="92" t="n">
        <v>51</v>
      </c>
      <c r="B183" s="92" t="inlineStr">
        <is>
          <t>PHL</t>
        </is>
      </c>
      <c r="C183" s="92" t="inlineStr">
        <is>
          <t>Filipíny</t>
        </is>
      </c>
      <c r="D183" s="92">
        <f>CONCATENATE(B183," - ",C183)</f>
        <v/>
      </c>
    </row>
    <row r="184" ht="12.75" customHeight="1" s="48">
      <c r="A184" s="92" t="n">
        <v>165</v>
      </c>
      <c r="B184" s="92" t="inlineStr">
        <is>
          <t>PLW</t>
        </is>
      </c>
      <c r="C184" s="92" t="inlineStr">
        <is>
          <t>Palau</t>
        </is>
      </c>
      <c r="D184" s="92">
        <f>CONCATENATE(B184," - ",C184)</f>
        <v/>
      </c>
    </row>
    <row r="185" ht="12.75" customHeight="1" s="48">
      <c r="A185" s="92" t="n">
        <v>202</v>
      </c>
      <c r="B185" s="92" t="inlineStr">
        <is>
          <t>PNG</t>
        </is>
      </c>
      <c r="C185" s="92" t="inlineStr">
        <is>
          <t>Papua Nová Guinea</t>
        </is>
      </c>
      <c r="D185" s="92">
        <f>CONCATENATE(B185," - ",C185)</f>
        <v/>
      </c>
    </row>
    <row r="186" ht="12.75" customHeight="1" s="48">
      <c r="A186" s="92" t="n">
        <v>171</v>
      </c>
      <c r="B186" s="92" t="inlineStr">
        <is>
          <t>POL</t>
        </is>
      </c>
      <c r="C186" s="92" t="inlineStr">
        <is>
          <t>Polsko</t>
        </is>
      </c>
      <c r="D186" s="92">
        <f>CONCATENATE(B186," - ",C186)</f>
        <v/>
      </c>
    </row>
    <row r="187" ht="12.75" customHeight="1" s="48">
      <c r="A187" s="92" t="n">
        <v>257</v>
      </c>
      <c r="B187" s="92" t="inlineStr">
        <is>
          <t>PRI</t>
        </is>
      </c>
      <c r="C187" s="92" t="inlineStr">
        <is>
          <t>Portoriko</t>
        </is>
      </c>
      <c r="D187" s="92">
        <f>CONCATENATE(B187," - ",C187)</f>
        <v/>
      </c>
    </row>
    <row r="188" ht="12.75" customHeight="1" s="48">
      <c r="A188" s="92" t="n">
        <v>113</v>
      </c>
      <c r="B188" s="92" t="inlineStr">
        <is>
          <t>PRK</t>
        </is>
      </c>
      <c r="C188" s="92" t="inlineStr">
        <is>
          <t>Korea, lidově demokratická republika</t>
        </is>
      </c>
      <c r="D188" s="92">
        <f>CONCATENATE(B188," - ",C188)</f>
        <v/>
      </c>
    </row>
    <row r="189" ht="12.75" customHeight="1" s="48">
      <c r="A189" s="92" t="n">
        <v>172</v>
      </c>
      <c r="B189" s="92" t="inlineStr">
        <is>
          <t>PRT</t>
        </is>
      </c>
      <c r="C189" s="92" t="inlineStr">
        <is>
          <t>Portugalsko</t>
        </is>
      </c>
      <c r="D189" s="92">
        <f>CONCATENATE(B189," - ",C189)</f>
        <v/>
      </c>
    </row>
    <row r="190" ht="12.75" customHeight="1" s="48">
      <c r="A190" s="92" t="n">
        <v>167</v>
      </c>
      <c r="B190" s="92" t="inlineStr">
        <is>
          <t>PRY</t>
        </is>
      </c>
      <c r="C190" s="92" t="inlineStr">
        <is>
          <t>Paraguay</t>
        </is>
      </c>
      <c r="D190" s="92">
        <f>CONCATENATE(B190," - ",C190)</f>
        <v/>
      </c>
    </row>
    <row r="191" ht="12.75" customHeight="1" s="48">
      <c r="A191" s="92" t="n">
        <v>255</v>
      </c>
      <c r="B191" s="92" t="inlineStr">
        <is>
          <t>PSE</t>
        </is>
      </c>
      <c r="C191" s="92" t="inlineStr">
        <is>
          <t>Palestina</t>
        </is>
      </c>
      <c r="D191" s="92">
        <f>CONCATENATE(B191," - ",C191)</f>
        <v/>
      </c>
    </row>
    <row r="192" ht="12.75" customHeight="1" s="48">
      <c r="A192" s="92" t="n">
        <v>249</v>
      </c>
      <c r="B192" s="92" t="inlineStr">
        <is>
          <t>PUS</t>
        </is>
      </c>
      <c r="C192" s="92" t="inlineStr">
        <is>
          <t>ostrovy USA v Tichém oceánu</t>
        </is>
      </c>
      <c r="D192" s="92">
        <f>CONCATENATE(B192," - ",C192)</f>
        <v/>
      </c>
    </row>
    <row r="193" ht="12.75" customHeight="1" s="48">
      <c r="A193" s="92" t="n">
        <v>54</v>
      </c>
      <c r="B193" s="92" t="inlineStr">
        <is>
          <t>PYF</t>
        </is>
      </c>
      <c r="C193" s="92" t="inlineStr">
        <is>
          <t>Francouzská Polynésie</t>
        </is>
      </c>
      <c r="D193" s="92">
        <f>CONCATENATE(B193," - ",C193)</f>
        <v/>
      </c>
    </row>
    <row r="194" ht="12.75" customHeight="1" s="48">
      <c r="A194" s="92" t="n">
        <v>108</v>
      </c>
      <c r="B194" s="92" t="inlineStr">
        <is>
          <t>QAT</t>
        </is>
      </c>
      <c r="C194" s="92" t="inlineStr">
        <is>
          <t>Katar</t>
        </is>
      </c>
      <c r="D194" s="92">
        <f>CONCATENATE(B194," - ",C194)</f>
        <v/>
      </c>
    </row>
    <row r="195" ht="12.75" customHeight="1" s="48">
      <c r="A195" s="92" t="n">
        <v>95</v>
      </c>
      <c r="B195" s="92" t="inlineStr">
        <is>
          <t>REU</t>
        </is>
      </c>
      <c r="C195" s="92" t="inlineStr">
        <is>
          <t>Reunion</t>
        </is>
      </c>
      <c r="D195" s="92">
        <f>CONCATENATE(B195," - ",C195)</f>
        <v/>
      </c>
    </row>
    <row r="196" ht="12.75" customHeight="1" s="48">
      <c r="A196" s="92" t="n">
        <v>274</v>
      </c>
      <c r="B196" s="92" t="inlineStr">
        <is>
          <t>RKS</t>
        </is>
      </c>
      <c r="C196" s="92" t="inlineStr">
        <is>
          <t>Republika Kosovo</t>
        </is>
      </c>
      <c r="D196" s="92">
        <f>CONCATENATE(B196," - ",C196)</f>
        <v/>
      </c>
    </row>
    <row r="197" ht="12.75" customHeight="1" s="48">
      <c r="A197" s="92" t="n">
        <v>175</v>
      </c>
      <c r="B197" s="92" t="inlineStr">
        <is>
          <t>ROU</t>
        </is>
      </c>
      <c r="C197" s="92" t="inlineStr">
        <is>
          <t>Rumunsko</t>
        </is>
      </c>
      <c r="D197" s="92">
        <f>CONCATENATE(B197," - ",C197)</f>
        <v/>
      </c>
    </row>
    <row r="198" ht="12.75" customHeight="1" s="48">
      <c r="A198" s="92" t="n">
        <v>203</v>
      </c>
      <c r="B198" s="92" t="inlineStr">
        <is>
          <t>RUS</t>
        </is>
      </c>
      <c r="C198" s="92" t="inlineStr">
        <is>
          <t>Rusko</t>
        </is>
      </c>
      <c r="D198" s="92">
        <f>CONCATENATE(B198," - ",C198)</f>
        <v/>
      </c>
    </row>
    <row r="199" ht="12.75" customHeight="1" s="48">
      <c r="A199" s="92" t="n">
        <v>176</v>
      </c>
      <c r="B199" s="92" t="inlineStr">
        <is>
          <t>RWA</t>
        </is>
      </c>
      <c r="C199" s="92" t="inlineStr">
        <is>
          <t>Rwanda</t>
        </is>
      </c>
      <c r="D199" s="92">
        <f>CONCATENATE(B199," - ",C199)</f>
        <v/>
      </c>
    </row>
    <row r="200" ht="12.75" customHeight="1" s="48">
      <c r="A200" s="92" t="n">
        <v>204</v>
      </c>
      <c r="B200" s="92" t="inlineStr">
        <is>
          <t>SAU</t>
        </is>
      </c>
      <c r="C200" s="92" t="inlineStr">
        <is>
          <t>Saúdská Arábie</t>
        </is>
      </c>
      <c r="D200" s="92">
        <f>CONCATENATE(B200," - ",C200)</f>
        <v/>
      </c>
    </row>
    <row r="201" ht="12.75" customHeight="1" s="48">
      <c r="A201" s="92" t="n">
        <v>271</v>
      </c>
      <c r="B201" s="92" t="inlineStr">
        <is>
          <t>SCG</t>
        </is>
      </c>
      <c r="C201" s="92" t="inlineStr">
        <is>
          <t>Srbsko a Černá Hora</t>
        </is>
      </c>
      <c r="D201" s="92">
        <f>CONCATENATE(B201," - ",C201)</f>
        <v/>
      </c>
    </row>
    <row r="202" ht="12.75" customHeight="1" s="48">
      <c r="A202" s="92" t="n">
        <v>100</v>
      </c>
      <c r="B202" s="92" t="inlineStr">
        <is>
          <t>SDN</t>
        </is>
      </c>
      <c r="C202" s="92" t="inlineStr">
        <is>
          <t>Súdán</t>
        </is>
      </c>
      <c r="D202" s="92">
        <f>CONCATENATE(B202," - ",C202)</f>
        <v/>
      </c>
    </row>
    <row r="203" ht="12.75" customHeight="1" s="48">
      <c r="A203" s="92" t="n">
        <v>182</v>
      </c>
      <c r="B203" s="92" t="inlineStr">
        <is>
          <t>SEN</t>
        </is>
      </c>
      <c r="C203" s="92" t="inlineStr">
        <is>
          <t>Senegal</t>
        </is>
      </c>
      <c r="D203" s="92">
        <f>CONCATENATE(B203," - ",C203)</f>
        <v/>
      </c>
    </row>
    <row r="204" ht="12.75" customHeight="1" s="48">
      <c r="A204" s="92" t="n">
        <v>186</v>
      </c>
      <c r="B204" s="92" t="inlineStr">
        <is>
          <t>SGP</t>
        </is>
      </c>
      <c r="C204" s="92" t="inlineStr">
        <is>
          <t>Singapur</t>
        </is>
      </c>
      <c r="D204" s="92">
        <f>CONCATENATE(B204," - ",C204)</f>
        <v/>
      </c>
    </row>
    <row r="205" ht="12.75" customHeight="1" s="48">
      <c r="A205" s="92" t="n">
        <v>80</v>
      </c>
      <c r="B205" s="92" t="inlineStr">
        <is>
          <t>SGS</t>
        </is>
      </c>
      <c r="C205" s="92" t="inlineStr">
        <is>
          <t>Jižní Georgie a Jižní Sandwichovy ostrovy</t>
        </is>
      </c>
      <c r="D205" s="92">
        <f>CONCATENATE(B205," - ",C205)</f>
        <v/>
      </c>
    </row>
    <row r="206" ht="12.75" customHeight="1" s="48">
      <c r="A206" s="92" t="n">
        <v>102</v>
      </c>
      <c r="B206" s="92" t="inlineStr">
        <is>
          <t>SHN</t>
        </is>
      </c>
      <c r="C206" s="92" t="inlineStr">
        <is>
          <t>Svatá Helena</t>
        </is>
      </c>
      <c r="D206" s="92">
        <f>CONCATENATE(B206," - ",C206)</f>
        <v/>
      </c>
    </row>
    <row r="207" ht="12.75" customHeight="1" s="48">
      <c r="A207" s="92" t="n">
        <v>258</v>
      </c>
      <c r="B207" s="92" t="inlineStr">
        <is>
          <t>SJM</t>
        </is>
      </c>
      <c r="C207" s="92" t="inlineStr">
        <is>
          <t>Svalbard and Jan Mayen Islands</t>
        </is>
      </c>
      <c r="D207" s="92">
        <f>CONCATENATE(B207," - ",C207)</f>
        <v/>
      </c>
    </row>
    <row r="208" ht="12.75" customHeight="1" s="48">
      <c r="A208" s="92" t="n">
        <v>213</v>
      </c>
      <c r="B208" s="92" t="inlineStr">
        <is>
          <t>SLB</t>
        </is>
      </c>
      <c r="C208" s="92" t="inlineStr">
        <is>
          <t>Šalamounovy ostrovy</t>
        </is>
      </c>
      <c r="D208" s="92">
        <f>CONCATENATE(B208," - ",C208)</f>
        <v/>
      </c>
    </row>
    <row r="209" ht="12.75" customHeight="1" s="48">
      <c r="A209" s="92" t="n">
        <v>185</v>
      </c>
      <c r="B209" s="92" t="inlineStr">
        <is>
          <t>SLE</t>
        </is>
      </c>
      <c r="C209" s="92" t="inlineStr">
        <is>
          <t>Sierra Leone</t>
        </is>
      </c>
      <c r="D209" s="92">
        <f>CONCATENATE(B209," - ",C209)</f>
        <v/>
      </c>
    </row>
    <row r="210" ht="12.75" customHeight="1" s="48">
      <c r="A210" s="92" t="n">
        <v>179</v>
      </c>
      <c r="B210" s="92" t="inlineStr">
        <is>
          <t>SLV</t>
        </is>
      </c>
      <c r="C210" s="92" t="inlineStr">
        <is>
          <t>Salvador</t>
        </is>
      </c>
      <c r="D210" s="92">
        <f>CONCATENATE(B210," - ",C210)</f>
        <v/>
      </c>
    </row>
    <row r="211" ht="12.75" customHeight="1" s="48">
      <c r="A211" s="92" t="n">
        <v>181</v>
      </c>
      <c r="B211" s="92" t="inlineStr">
        <is>
          <t>SMR</t>
        </is>
      </c>
      <c r="C211" s="92" t="inlineStr">
        <is>
          <t>San Marino</t>
        </is>
      </c>
      <c r="D211" s="92">
        <f>CONCATENATE(B211," - ",C211)</f>
        <v/>
      </c>
    </row>
    <row r="212" ht="12.75" customHeight="1" s="48">
      <c r="A212" s="92" t="n">
        <v>270</v>
      </c>
      <c r="B212" s="92" t="inlineStr">
        <is>
          <t>SNS</t>
        </is>
      </c>
      <c r="C212" s="92" t="inlineStr">
        <is>
          <t>Spol. nezávisl.st.</t>
        </is>
      </c>
      <c r="D212" s="92">
        <f>CONCATENATE(B212," - ",C212)</f>
        <v/>
      </c>
    </row>
    <row r="213" ht="12.75" customHeight="1" s="48">
      <c r="A213" s="92" t="n">
        <v>111</v>
      </c>
      <c r="B213" s="92" t="inlineStr">
        <is>
          <t>SOM</t>
        </is>
      </c>
      <c r="C213" s="92" t="inlineStr">
        <is>
          <t>Somálsko</t>
        </is>
      </c>
      <c r="D213" s="92">
        <f>CONCATENATE(B213," - ",C213)</f>
        <v/>
      </c>
    </row>
    <row r="214" ht="12.75" customHeight="1" s="48">
      <c r="A214" s="92" t="n">
        <v>178</v>
      </c>
      <c r="B214" s="92" t="inlineStr">
        <is>
          <t>SPM</t>
        </is>
      </c>
      <c r="C214" s="92" t="inlineStr">
        <is>
          <t>Saint Pierre a Miquelon</t>
        </is>
      </c>
      <c r="D214" s="92">
        <f>CONCATENATE(B214," - ",C214)</f>
        <v/>
      </c>
    </row>
    <row r="215" ht="12.75" customHeight="1" s="48">
      <c r="A215" s="92" t="n">
        <v>275</v>
      </c>
      <c r="B215" s="92" t="inlineStr">
        <is>
          <t>SRB</t>
        </is>
      </c>
      <c r="C215" s="92" t="inlineStr">
        <is>
          <t>Srbsko</t>
        </is>
      </c>
      <c r="D215" s="92">
        <f>CONCATENATE(B215," - ",C215)</f>
        <v/>
      </c>
    </row>
    <row r="216" ht="12.75" customHeight="1" s="48">
      <c r="A216" s="92" t="n">
        <v>276</v>
      </c>
      <c r="B216" s="92" t="inlineStr">
        <is>
          <t>SSD</t>
        </is>
      </c>
      <c r="C216" s="92" t="inlineStr">
        <is>
          <t>Jižní Súdán</t>
        </is>
      </c>
      <c r="D216" s="92">
        <f>CONCATENATE(B216," - ",C216)</f>
        <v/>
      </c>
    </row>
    <row r="217" ht="12.75" customHeight="1" s="48">
      <c r="A217" s="92" t="n">
        <v>209</v>
      </c>
      <c r="B217" s="92" t="inlineStr">
        <is>
          <t>STP</t>
        </is>
      </c>
      <c r="C217" s="92" t="inlineStr">
        <is>
          <t>Svatý Tomáš</t>
        </is>
      </c>
      <c r="D217" s="92">
        <f>CONCATENATE(B217," - ",C217)</f>
        <v/>
      </c>
    </row>
    <row r="218" ht="12.75" customHeight="1" s="48">
      <c r="A218" s="92" t="n">
        <v>101</v>
      </c>
      <c r="B218" s="92" t="inlineStr">
        <is>
          <t>SUR</t>
        </is>
      </c>
      <c r="C218" s="92" t="inlineStr">
        <is>
          <t>Surinam</t>
        </is>
      </c>
      <c r="D218" s="92">
        <f>CONCATENATE(B218," - ",C218)</f>
        <v/>
      </c>
    </row>
    <row r="219" ht="12.75" customHeight="1" s="48">
      <c r="A219" s="92" t="n">
        <v>187</v>
      </c>
      <c r="B219" s="92" t="inlineStr">
        <is>
          <t>SVK</t>
        </is>
      </c>
      <c r="C219" s="92" t="inlineStr">
        <is>
          <t>Slovensko</t>
        </is>
      </c>
      <c r="D219" s="92">
        <f>CONCATENATE(B219," - ",C219)</f>
        <v/>
      </c>
    </row>
    <row r="220" ht="12.75" customHeight="1" s="48">
      <c r="A220" s="92" t="n">
        <v>188</v>
      </c>
      <c r="B220" s="92" t="inlineStr">
        <is>
          <t>SVN</t>
        </is>
      </c>
      <c r="C220" s="92" t="inlineStr">
        <is>
          <t>Slovinsko</t>
        </is>
      </c>
      <c r="D220" s="92">
        <f>CONCATENATE(B220," - ",C220)</f>
        <v/>
      </c>
    </row>
    <row r="221" ht="12.75" customHeight="1" s="48">
      <c r="A221" s="92" t="n">
        <v>215</v>
      </c>
      <c r="B221" s="92" t="inlineStr">
        <is>
          <t>SWE</t>
        </is>
      </c>
      <c r="C221" s="92" t="inlineStr">
        <is>
          <t>Švédsko</t>
        </is>
      </c>
      <c r="D221" s="92">
        <f>CONCATENATE(B221," - ",C221)</f>
        <v/>
      </c>
    </row>
    <row r="222" ht="12.75" customHeight="1" s="48">
      <c r="A222" s="92" t="n">
        <v>211</v>
      </c>
      <c r="B222" s="92" t="inlineStr">
        <is>
          <t>SWZ</t>
        </is>
      </c>
      <c r="C222" s="92" t="inlineStr">
        <is>
          <t>Svazijsko</t>
        </is>
      </c>
      <c r="D222" s="92">
        <f>CONCATENATE(B222," - ",C222)</f>
        <v/>
      </c>
    </row>
    <row r="223" ht="12.75" customHeight="1" s="48">
      <c r="A223" s="92" t="n">
        <v>282</v>
      </c>
      <c r="B223" s="92" t="inlineStr">
        <is>
          <t>SXM</t>
        </is>
      </c>
      <c r="C223" s="92" t="inlineStr">
        <is>
          <t>Sint Maarten (Dutch part)</t>
        </is>
      </c>
      <c r="D223" s="92">
        <f>CONCATENATE(B223," - ",C223)</f>
        <v/>
      </c>
    </row>
    <row r="224" ht="12.75" customHeight="1" s="48">
      <c r="A224" s="92" t="n">
        <v>184</v>
      </c>
      <c r="B224" s="92" t="inlineStr">
        <is>
          <t>SYC</t>
        </is>
      </c>
      <c r="C224" s="92" t="inlineStr">
        <is>
          <t>Seychely</t>
        </is>
      </c>
      <c r="D224" s="92">
        <f>CONCATENATE(B224," - ",C224)</f>
        <v/>
      </c>
    </row>
    <row r="225" ht="12.75" customHeight="1" s="48">
      <c r="A225" s="92" t="n">
        <v>212</v>
      </c>
      <c r="B225" s="92" t="inlineStr">
        <is>
          <t>SYR</t>
        </is>
      </c>
      <c r="C225" s="92" t="inlineStr">
        <is>
          <t>Sýrie</t>
        </is>
      </c>
      <c r="D225" s="92">
        <f>CONCATENATE(B225," - ",C225)</f>
        <v/>
      </c>
    </row>
    <row r="226" ht="12.75" customHeight="1" s="48">
      <c r="A226" s="92" t="n">
        <v>228</v>
      </c>
      <c r="B226" s="92" t="inlineStr">
        <is>
          <t>TCA</t>
        </is>
      </c>
      <c r="C226" s="92" t="inlineStr">
        <is>
          <t>Turks a Caicos</t>
        </is>
      </c>
      <c r="D226" s="92">
        <f>CONCATENATE(B226," - ",C226)</f>
        <v/>
      </c>
    </row>
    <row r="227" ht="12.75" customHeight="1" s="48">
      <c r="A227" s="92" t="n">
        <v>37</v>
      </c>
      <c r="B227" s="92" t="inlineStr">
        <is>
          <t>TCD</t>
        </is>
      </c>
      <c r="C227" s="92" t="inlineStr">
        <is>
          <t>Čad</t>
        </is>
      </c>
      <c r="D227" s="92">
        <f>CONCATENATE(B227," - ",C227)</f>
        <v/>
      </c>
    </row>
    <row r="228" ht="12.75" customHeight="1" s="48">
      <c r="A228" s="92" t="n">
        <v>221</v>
      </c>
      <c r="B228" s="92" t="inlineStr">
        <is>
          <t>TGO</t>
        </is>
      </c>
      <c r="C228" s="92" t="inlineStr">
        <is>
          <t>Togo</t>
        </is>
      </c>
      <c r="D228" s="92">
        <f>CONCATENATE(B228," - ",C228)</f>
        <v/>
      </c>
    </row>
    <row r="229" ht="12.75" customHeight="1" s="48">
      <c r="A229" s="92" t="n">
        <v>219</v>
      </c>
      <c r="B229" s="92" t="inlineStr">
        <is>
          <t>THA</t>
        </is>
      </c>
      <c r="C229" s="92" t="inlineStr">
        <is>
          <t>Thajsko</t>
        </is>
      </c>
      <c r="D229" s="92">
        <f>CONCATENATE(B229," - ",C229)</f>
        <v/>
      </c>
    </row>
    <row r="230" ht="12.75" customHeight="1" s="48">
      <c r="A230" s="92" t="n">
        <v>217</v>
      </c>
      <c r="B230" s="92" t="inlineStr">
        <is>
          <t>TJK</t>
        </is>
      </c>
      <c r="C230" s="92" t="inlineStr">
        <is>
          <t>Tádžikistán</t>
        </is>
      </c>
      <c r="D230" s="92">
        <f>CONCATENATE(B230," - ",C230)</f>
        <v/>
      </c>
    </row>
    <row r="231" ht="12.75" customHeight="1" s="48">
      <c r="A231" s="92" t="n">
        <v>222</v>
      </c>
      <c r="B231" s="92" t="inlineStr">
        <is>
          <t>TKL</t>
        </is>
      </c>
      <c r="C231" s="92" t="inlineStr">
        <is>
          <t>Tokelau</t>
        </is>
      </c>
      <c r="D231" s="92">
        <f>CONCATENATE(B231," - ",C231)</f>
        <v/>
      </c>
    </row>
    <row r="232" ht="12.75" customHeight="1" s="48">
      <c r="A232" s="92" t="n">
        <v>227</v>
      </c>
      <c r="B232" s="92" t="inlineStr">
        <is>
          <t>TKM</t>
        </is>
      </c>
      <c r="C232" s="92" t="inlineStr">
        <is>
          <t>Turkmenistán</t>
        </is>
      </c>
      <c r="D232" s="92">
        <f>CONCATENATE(B232," - ",C232)</f>
        <v/>
      </c>
    </row>
    <row r="233" ht="12.75" customHeight="1" s="48">
      <c r="A233" s="92" t="n">
        <v>238</v>
      </c>
      <c r="B233" s="92" t="inlineStr">
        <is>
          <t>TLS</t>
        </is>
      </c>
      <c r="C233" s="92" t="inlineStr">
        <is>
          <t>Východní Timor</t>
        </is>
      </c>
      <c r="D233" s="92">
        <f>CONCATENATE(B233," - ",C233)</f>
        <v/>
      </c>
    </row>
    <row r="234" ht="12.75" customHeight="1" s="48">
      <c r="A234" s="92" t="n">
        <v>223</v>
      </c>
      <c r="B234" s="92" t="inlineStr">
        <is>
          <t>TON</t>
        </is>
      </c>
      <c r="C234" s="92" t="inlineStr">
        <is>
          <t>Tonga</t>
        </is>
      </c>
      <c r="D234" s="92">
        <f>CONCATENATE(B234," - ",C234)</f>
        <v/>
      </c>
    </row>
    <row r="235" ht="12.75" customHeight="1" s="48">
      <c r="A235" s="92" t="n">
        <v>224</v>
      </c>
      <c r="B235" s="92" t="inlineStr">
        <is>
          <t>TTO</t>
        </is>
      </c>
      <c r="C235" s="92" t="inlineStr">
        <is>
          <t>Trinidad a Tobago</t>
        </is>
      </c>
      <c r="D235" s="92">
        <f>CONCATENATE(B235," - ",C235)</f>
        <v/>
      </c>
    </row>
    <row r="236" ht="12.75" customHeight="1" s="48">
      <c r="A236" s="92" t="n">
        <v>225</v>
      </c>
      <c r="B236" s="92" t="inlineStr">
        <is>
          <t>TUN</t>
        </is>
      </c>
      <c r="C236" s="92" t="inlineStr">
        <is>
          <t>Tunisko</t>
        </is>
      </c>
      <c r="D236" s="92">
        <f>CONCATENATE(B236," - ",C236)</f>
        <v/>
      </c>
    </row>
    <row r="237" ht="12.75" customHeight="1" s="48">
      <c r="A237" s="92" t="n">
        <v>226</v>
      </c>
      <c r="B237" s="92" t="inlineStr">
        <is>
          <t>TUR</t>
        </is>
      </c>
      <c r="C237" s="92" t="inlineStr">
        <is>
          <t>Turecko</t>
        </is>
      </c>
      <c r="D237" s="92">
        <f>CONCATENATE(B237," - ",C237)</f>
        <v/>
      </c>
    </row>
    <row r="238" ht="12.75" customHeight="1" s="48">
      <c r="A238" s="92" t="n">
        <v>229</v>
      </c>
      <c r="B238" s="92" t="inlineStr">
        <is>
          <t>TUV</t>
        </is>
      </c>
      <c r="C238" s="92" t="inlineStr">
        <is>
          <t>Tuvalu</t>
        </is>
      </c>
      <c r="D238" s="92">
        <f>CONCATENATE(B238," - ",C238)</f>
        <v/>
      </c>
    </row>
    <row r="239" ht="12.75" customHeight="1" s="48">
      <c r="A239" s="92" t="n">
        <v>220</v>
      </c>
      <c r="B239" s="92" t="inlineStr">
        <is>
          <t>TWN</t>
        </is>
      </c>
      <c r="C239" s="92" t="inlineStr">
        <is>
          <t>Tchaj-wan</t>
        </is>
      </c>
      <c r="D239" s="92">
        <f>CONCATENATE(B239," - ",C239)</f>
        <v/>
      </c>
    </row>
    <row r="240" ht="12.75" customHeight="1" s="48">
      <c r="A240" s="92" t="n">
        <v>218</v>
      </c>
      <c r="B240" s="92" t="inlineStr">
        <is>
          <t>TZA</t>
        </is>
      </c>
      <c r="C240" s="92" t="inlineStr">
        <is>
          <t>Tanzánie</t>
        </is>
      </c>
      <c r="D240" s="92">
        <f>CONCATENATE(B240," - ",C240)</f>
        <v/>
      </c>
    </row>
    <row r="241" ht="12.75" customHeight="1" s="48">
      <c r="A241" s="92" t="n">
        <v>230</v>
      </c>
      <c r="B241" s="92" t="inlineStr">
        <is>
          <t>UGA</t>
        </is>
      </c>
      <c r="C241" s="92" t="inlineStr">
        <is>
          <t>Uganda</t>
        </is>
      </c>
      <c r="D241" s="92">
        <f>CONCATENATE(B241," - ",C241)</f>
        <v/>
      </c>
    </row>
    <row r="242" ht="12.75" customHeight="1" s="48">
      <c r="A242" s="92" t="n">
        <v>231</v>
      </c>
      <c r="B242" s="92" t="inlineStr">
        <is>
          <t>UKR</t>
        </is>
      </c>
      <c r="C242" s="92" t="inlineStr">
        <is>
          <t>Ukrajina</t>
        </is>
      </c>
      <c r="D242" s="92">
        <f>CONCATENATE(B242," - ",C242)</f>
        <v/>
      </c>
    </row>
    <row r="243" ht="12.75" customHeight="1" s="48">
      <c r="A243" s="92" t="n">
        <v>142</v>
      </c>
      <c r="B243" s="92" t="inlineStr">
        <is>
          <t>UMI</t>
        </is>
      </c>
      <c r="C243" s="92" t="inlineStr">
        <is>
          <t>Menší odlehlé ostrovy USA</t>
        </is>
      </c>
      <c r="D243" s="92">
        <f>CONCATENATE(B243," - ",C243)</f>
        <v/>
      </c>
    </row>
    <row r="244" ht="12.75" customHeight="1" s="48">
      <c r="A244" s="92" t="n">
        <v>97</v>
      </c>
      <c r="B244" s="92" t="inlineStr">
        <is>
          <t>UNA</t>
        </is>
      </c>
      <c r="C244" s="92" t="inlineStr">
        <is>
          <t>Agentura spojených národů</t>
        </is>
      </c>
      <c r="D244" s="92">
        <f>CONCATENATE(B244," - ",C244)</f>
        <v/>
      </c>
    </row>
    <row r="245" ht="12.75" customHeight="1" s="48">
      <c r="A245" s="92" t="n">
        <v>276</v>
      </c>
      <c r="B245" s="92" t="inlineStr">
        <is>
          <t>UNK</t>
        </is>
      </c>
      <c r="C245" s="92" t="inlineStr">
        <is>
          <t>Kosovo - státy EU neuznávaný</t>
        </is>
      </c>
      <c r="D245" s="92">
        <f>CONCATENATE(B245," - ",C245)</f>
        <v/>
      </c>
    </row>
    <row r="246" ht="12.75" customHeight="1" s="48">
      <c r="A246" s="92" t="n">
        <v>259</v>
      </c>
      <c r="B246" s="92" t="inlineStr">
        <is>
          <t>UNO</t>
        </is>
      </c>
      <c r="C246" s="92" t="inlineStr">
        <is>
          <t>Organizace spojených národů</t>
        </is>
      </c>
      <c r="D246" s="92">
        <f>CONCATENATE(B246," - ",C246)</f>
        <v/>
      </c>
    </row>
    <row r="247" ht="12.75" customHeight="1" s="48">
      <c r="A247" s="92" t="n">
        <v>232</v>
      </c>
      <c r="B247" s="92" t="inlineStr">
        <is>
          <t>URY</t>
        </is>
      </c>
      <c r="C247" s="92" t="inlineStr">
        <is>
          <t>Uruguay</t>
        </is>
      </c>
      <c r="D247" s="92">
        <f>CONCATENATE(B247," - ",C247)</f>
        <v/>
      </c>
    </row>
    <row r="248" ht="12.75" customHeight="1" s="48">
      <c r="A248" s="92" t="n">
        <v>190</v>
      </c>
      <c r="B248" s="92" t="inlineStr">
        <is>
          <t>USA</t>
        </is>
      </c>
      <c r="C248" s="92" t="inlineStr">
        <is>
          <t>Spojené státy</t>
        </is>
      </c>
      <c r="D248" s="92">
        <f>CONCATENATE(B248," - ",C248)</f>
        <v/>
      </c>
    </row>
    <row r="249" ht="12.75" customHeight="1" s="48">
      <c r="A249" s="92" t="n">
        <v>233</v>
      </c>
      <c r="B249" s="92" t="inlineStr">
        <is>
          <t>UZB</t>
        </is>
      </c>
      <c r="C249" s="92" t="inlineStr">
        <is>
          <t>Uzbekistán</t>
        </is>
      </c>
      <c r="D249" s="92">
        <f>CONCATENATE(B249," - ",C249)</f>
        <v/>
      </c>
    </row>
    <row r="250" ht="12.75" customHeight="1" s="48">
      <c r="A250" s="92" t="n">
        <v>208</v>
      </c>
      <c r="B250" s="92" t="inlineStr">
        <is>
          <t>VAT</t>
        </is>
      </c>
      <c r="C250" s="92" t="inlineStr">
        <is>
          <t>Vatikán (Svatý stolec)</t>
        </is>
      </c>
      <c r="D250" s="92">
        <f>CONCATENATE(B250," - ",C250)</f>
        <v/>
      </c>
    </row>
    <row r="251" ht="12.75" customHeight="1" s="48">
      <c r="A251" s="92" t="n">
        <v>210</v>
      </c>
      <c r="B251" s="92" t="inlineStr">
        <is>
          <t>VCT</t>
        </is>
      </c>
      <c r="C251" s="92" t="inlineStr">
        <is>
          <t>Svatý Vincenc a Grenadiny</t>
        </is>
      </c>
      <c r="D251" s="92">
        <f>CONCATENATE(B251," - ",C251)</f>
        <v/>
      </c>
    </row>
    <row r="252" ht="12.75" customHeight="1" s="48">
      <c r="A252" s="92" t="n">
        <v>236</v>
      </c>
      <c r="B252" s="92" t="inlineStr">
        <is>
          <t>VEN</t>
        </is>
      </c>
      <c r="C252" s="92" t="inlineStr">
        <is>
          <t>Venezuela</t>
        </is>
      </c>
      <c r="D252" s="92">
        <f>CONCATENATE(B252," - ",C252)</f>
        <v/>
      </c>
    </row>
    <row r="253" ht="12.75" customHeight="1" s="48">
      <c r="A253" s="92" t="n">
        <v>105</v>
      </c>
      <c r="B253" s="92" t="inlineStr">
        <is>
          <t>VGB</t>
        </is>
      </c>
      <c r="C253" s="92" t="inlineStr">
        <is>
          <t>Britské Panenské ostrovy</t>
        </is>
      </c>
      <c r="D253" s="92">
        <f>CONCATENATE(B253," - ",C253)</f>
        <v/>
      </c>
    </row>
    <row r="254" ht="12.75" customHeight="1" s="48">
      <c r="A254" s="92" t="n">
        <v>5</v>
      </c>
      <c r="B254" s="92" t="inlineStr">
        <is>
          <t>VIR</t>
        </is>
      </c>
      <c r="C254" s="92" t="inlineStr">
        <is>
          <t>Americké Panenské ostrovy</t>
        </is>
      </c>
      <c r="D254" s="92">
        <f>CONCATENATE(B254," - ",C254)</f>
        <v/>
      </c>
    </row>
    <row r="255" ht="12.75" customHeight="1" s="48">
      <c r="A255" s="92" t="n">
        <v>237</v>
      </c>
      <c r="B255" s="92" t="inlineStr">
        <is>
          <t>VNM</t>
        </is>
      </c>
      <c r="C255" s="92" t="inlineStr">
        <is>
          <t>Vietnam</t>
        </is>
      </c>
      <c r="D255" s="92">
        <f>CONCATENATE(B255," - ",C255)</f>
        <v/>
      </c>
    </row>
    <row r="256" ht="12.75" customHeight="1" s="48">
      <c r="A256" s="92" t="n">
        <v>235</v>
      </c>
      <c r="B256" s="92" t="inlineStr">
        <is>
          <t>VUT</t>
        </is>
      </c>
      <c r="C256" s="92" t="inlineStr">
        <is>
          <t>Vanuatu</t>
        </is>
      </c>
      <c r="D256" s="92">
        <f>CONCATENATE(B256," - ",C256)</f>
        <v/>
      </c>
    </row>
    <row r="257" ht="12.75" customHeight="1" s="48">
      <c r="A257" s="92" t="n">
        <v>239</v>
      </c>
      <c r="B257" s="92" t="inlineStr">
        <is>
          <t>WLF</t>
        </is>
      </c>
      <c r="C257" s="92" t="inlineStr">
        <is>
          <t>Wallis a Futuna</t>
        </is>
      </c>
      <c r="D257" s="92">
        <f>CONCATENATE(B257," - ",C257)</f>
        <v/>
      </c>
    </row>
    <row r="258" ht="12.75" customHeight="1" s="48">
      <c r="A258" s="92" t="n">
        <v>180</v>
      </c>
      <c r="B258" s="92" t="inlineStr">
        <is>
          <t>WSM</t>
        </is>
      </c>
      <c r="C258" s="92" t="inlineStr">
        <is>
          <t>Samoa</t>
        </is>
      </c>
      <c r="D258" s="92">
        <f>CONCATENATE(B258," - ",C258)</f>
        <v/>
      </c>
    </row>
    <row r="259" ht="12.75" customHeight="1" s="48">
      <c r="A259" s="92" t="n">
        <v>250</v>
      </c>
      <c r="B259" s="92" t="inlineStr">
        <is>
          <t>XEU</t>
        </is>
      </c>
      <c r="C259" s="92" t="inlineStr">
        <is>
          <t>Evropská unie</t>
        </is>
      </c>
      <c r="D259" s="92">
        <f>CONCATENATE(B259," - ",C259)</f>
        <v/>
      </c>
    </row>
    <row r="260" ht="12.75" customHeight="1" s="48">
      <c r="A260" s="92" t="n">
        <v>251</v>
      </c>
      <c r="B260" s="92" t="inlineStr">
        <is>
          <t>XGG</t>
        </is>
      </c>
      <c r="C260" s="92" t="inlineStr">
        <is>
          <t>Guernsey</t>
        </is>
      </c>
      <c r="D260" s="92">
        <f>CONCATENATE(B260," - ",C260)</f>
        <v/>
      </c>
    </row>
    <row r="261" ht="12.75" customHeight="1" s="48">
      <c r="A261" s="92" t="n">
        <v>252</v>
      </c>
      <c r="B261" s="92" t="inlineStr">
        <is>
          <t>XJE</t>
        </is>
      </c>
      <c r="C261" s="92" t="inlineStr">
        <is>
          <t>Jersey</t>
        </is>
      </c>
      <c r="D261" s="92">
        <f>CONCATENATE(B261," - ",C261)</f>
        <v/>
      </c>
    </row>
    <row r="262" ht="12.75" customHeight="1" s="48">
      <c r="A262" s="92" t="n">
        <v>283</v>
      </c>
      <c r="B262" s="92" t="inlineStr">
        <is>
          <t>XKO</t>
        </is>
      </c>
      <c r="C262" s="92" t="inlineStr">
        <is>
          <t>Kosovo - archiv (do 11.2.2015)</t>
        </is>
      </c>
      <c r="D262" s="92">
        <f>CONCATENATE(B262," - ",C262)</f>
        <v/>
      </c>
    </row>
    <row r="263" ht="12.75" customHeight="1" s="48">
      <c r="A263" s="92" t="n">
        <v>253</v>
      </c>
      <c r="B263" s="92" t="inlineStr">
        <is>
          <t>XMR</t>
        </is>
      </c>
      <c r="C263" s="92" t="inlineStr">
        <is>
          <t>Svrchovaný řád maltézských rytířů</t>
        </is>
      </c>
      <c r="D263" s="92">
        <f>CONCATENATE(B263," - ",C263)</f>
        <v/>
      </c>
    </row>
    <row r="264" ht="12.75" customHeight="1" s="48">
      <c r="A264" s="92" t="n">
        <v>260</v>
      </c>
      <c r="B264" s="92" t="inlineStr">
        <is>
          <t>XXA</t>
        </is>
      </c>
      <c r="C264" s="92" t="inlineStr">
        <is>
          <t>osoba bez státní příslušnosti</t>
        </is>
      </c>
      <c r="D264" s="92">
        <f>CONCATENATE(B264," - ",C264)</f>
        <v/>
      </c>
    </row>
    <row r="265" ht="12.75" customHeight="1" s="48">
      <c r="A265" s="92" t="n">
        <v>98</v>
      </c>
      <c r="B265" s="92" t="inlineStr">
        <is>
          <t>XXB</t>
        </is>
      </c>
      <c r="C265" s="92" t="inlineStr">
        <is>
          <t>uprchlík dle konvence  1951</t>
        </is>
      </c>
      <c r="D265" s="92">
        <f>CONCATENATE(B265," - ",C265)</f>
        <v/>
      </c>
    </row>
    <row r="266" ht="12.75" customHeight="1" s="48">
      <c r="A266" s="92" t="n">
        <v>261</v>
      </c>
      <c r="B266" s="92" t="inlineStr">
        <is>
          <t>XXC</t>
        </is>
      </c>
      <c r="C266" s="92" t="inlineStr">
        <is>
          <t>uprchlík ostatní</t>
        </is>
      </c>
      <c r="D266" s="92">
        <f>CONCATENATE(B266," - ",C266)</f>
        <v/>
      </c>
    </row>
    <row r="267" ht="12.75" customHeight="1" s="48">
      <c r="A267" s="92" t="n">
        <v>277</v>
      </c>
      <c r="B267" s="92" t="inlineStr">
        <is>
          <t>XXK</t>
        </is>
      </c>
      <c r="C267" s="92" t="inlineStr">
        <is>
          <t>Kosovo</t>
        </is>
      </c>
      <c r="D267" s="92">
        <f>CONCATENATE(B267," - ",C267)</f>
        <v/>
      </c>
    </row>
    <row r="268" ht="12.75" customHeight="1" s="48">
      <c r="A268" s="92" t="n">
        <v>272</v>
      </c>
      <c r="B268" s="92" t="inlineStr">
        <is>
          <t>XXX</t>
        </is>
      </c>
      <c r="C268" s="92" t="inlineStr">
        <is>
          <t>neuvedený stát</t>
        </is>
      </c>
      <c r="D268" s="92">
        <f>CONCATENATE(B268," - ",C268)</f>
        <v/>
      </c>
    </row>
    <row r="269" ht="12.75" customHeight="1" s="48">
      <c r="A269" s="92" t="n">
        <v>78</v>
      </c>
      <c r="B269" s="92" t="inlineStr">
        <is>
          <t>YEM</t>
        </is>
      </c>
      <c r="C269" s="92" t="inlineStr">
        <is>
          <t>Jemen</t>
        </is>
      </c>
      <c r="D269" s="92">
        <f>CONCATENATE(B269," - ",C269)</f>
        <v/>
      </c>
    </row>
    <row r="270" ht="12.75" customHeight="1" s="48">
      <c r="A270" s="92" t="n">
        <v>79</v>
      </c>
      <c r="B270" s="92" t="inlineStr">
        <is>
          <t>ZAF</t>
        </is>
      </c>
      <c r="C270" s="92" t="inlineStr">
        <is>
          <t>Jihoafrická republika</t>
        </is>
      </c>
      <c r="D270" s="92">
        <f>CONCATENATE(B270," - ",C270)</f>
        <v/>
      </c>
    </row>
    <row r="271" ht="12.75" customHeight="1" s="48">
      <c r="A271" s="92" t="n">
        <v>240</v>
      </c>
      <c r="B271" s="92" t="inlineStr">
        <is>
          <t>ZMB</t>
        </is>
      </c>
      <c r="C271" s="92" t="inlineStr">
        <is>
          <t>Zambie</t>
        </is>
      </c>
      <c r="D271" s="92">
        <f>CONCATENATE(B271," - ",C271)</f>
        <v/>
      </c>
    </row>
    <row r="272" ht="12.75" customHeight="1" s="48">
      <c r="A272" s="92" t="n">
        <v>241</v>
      </c>
      <c r="B272" s="92" t="inlineStr">
        <is>
          <t>ZWE</t>
        </is>
      </c>
      <c r="C272" s="92" t="inlineStr">
        <is>
          <t>Zimbabwe</t>
        </is>
      </c>
      <c r="D272" s="92">
        <f>CONCATENATE(B272," - ",C272)</f>
        <v/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rintOptions horizontalCentered="0" verticalCentered="0" headings="0" gridLines="0" gridLinesSet="1"/>
  <pageMargins left="0.7875" right="0.7875" top="0.9840277777777779" bottom="0.9840277777777779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4.xml><?xml version="1.0" encoding="utf-8"?>
<worksheet xmlns="http://schemas.openxmlformats.org/spreadsheetml/2006/main">
  <sheetPr filterMode="0">
    <outlinePr summaryBelow="1" summaryRight="1"/>
    <pageSetUpPr fitToPage="0"/>
  </sheetPr>
  <dimension ref="A1:C15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B9" activeCellId="0" sqref="B9"/>
    </sheetView>
  </sheetViews>
  <sheetFormatPr baseColWidth="8" defaultColWidth="9.0546875" defaultRowHeight="12.75" customHeight="1" zeroHeight="0" outlineLevelRow="0"/>
  <cols>
    <col width="2.99" customWidth="1" style="92" min="1" max="1"/>
    <col width="32.85" customWidth="1" style="92" min="2" max="2"/>
    <col hidden="1" width="36.7" customWidth="1" style="92" min="3" max="3"/>
  </cols>
  <sheetData>
    <row r="1" ht="12.75" customHeight="1" s="48">
      <c r="A1" s="92" t="inlineStr">
        <is>
          <t>00</t>
        </is>
      </c>
      <c r="B1" s="92" t="inlineStr">
        <is>
          <t>ZDRAVOTNÍ</t>
        </is>
      </c>
      <c r="C1" s="92">
        <f>CONCATENATE(A1," - ",B1)</f>
        <v/>
      </c>
    </row>
    <row r="2" ht="12.75" customHeight="1" s="48">
      <c r="A2" s="92" t="inlineStr">
        <is>
          <t>01</t>
        </is>
      </c>
      <c r="B2" s="92" t="inlineStr">
        <is>
          <t>OBCHODNÍ</t>
        </is>
      </c>
      <c r="C2" s="92">
        <f>CONCATENATE(A2," - ",B2)</f>
        <v/>
      </c>
    </row>
    <row r="3" ht="12.75" customHeight="1" s="48">
      <c r="A3" s="92" t="inlineStr">
        <is>
          <t>02</t>
        </is>
      </c>
      <c r="B3" s="92" t="inlineStr">
        <is>
          <t>KULTURNÍ</t>
        </is>
      </c>
      <c r="C3" s="92">
        <f>CONCATENATE(A3," - ",B3)</f>
        <v/>
      </c>
    </row>
    <row r="4" ht="12.75" customHeight="1" s="48">
      <c r="A4" s="92" t="inlineStr">
        <is>
          <t>03</t>
        </is>
      </c>
      <c r="B4" s="92" t="inlineStr">
        <is>
          <t>NÁVŠTĚVA RODINY NEBO PŘÁTEL</t>
        </is>
      </c>
      <c r="C4" s="92">
        <f>CONCATENATE(A4," - ",B4)</f>
        <v/>
      </c>
    </row>
    <row r="5" ht="12.75" customHeight="1" s="48">
      <c r="A5" s="92" t="inlineStr">
        <is>
          <t>04</t>
        </is>
      </c>
      <c r="B5" s="92" t="inlineStr">
        <is>
          <t>POZVÁNÍ</t>
        </is>
      </c>
      <c r="C5" s="92">
        <f>CONCATENATE(A5," - ",B5)</f>
        <v/>
      </c>
    </row>
    <row r="6" ht="12.75" customHeight="1" s="48">
      <c r="A6" s="92" t="inlineStr">
        <is>
          <t>05</t>
        </is>
      </c>
      <c r="B6" s="92" t="inlineStr">
        <is>
          <t>OFICIÁLNÍ (POLITICKÝ)</t>
        </is>
      </c>
      <c r="C6" s="92">
        <f>CONCATENATE(A6," - ",B6)</f>
        <v/>
      </c>
    </row>
    <row r="7" ht="12.75" customHeight="1" s="48">
      <c r="A7" s="92" t="inlineStr">
        <is>
          <t>06</t>
        </is>
      </c>
      <c r="B7" s="92" t="inlineStr">
        <is>
          <t>PODNIKÁNÍ - OSVČ</t>
        </is>
      </c>
      <c r="C7" s="92">
        <f>CONCATENATE(A7," - ",B7)</f>
        <v/>
      </c>
    </row>
    <row r="8" ht="12.75" customHeight="1" s="48">
      <c r="A8" s="92" t="inlineStr">
        <is>
          <t>07</t>
        </is>
      </c>
      <c r="B8" s="92" t="inlineStr">
        <is>
          <t>SPORTOVNÍ</t>
        </is>
      </c>
      <c r="C8" s="92">
        <f>CONCATENATE(A8," - ",B8)</f>
        <v/>
      </c>
    </row>
    <row r="9" ht="12.75" customHeight="1" s="48">
      <c r="A9" s="92" t="inlineStr">
        <is>
          <t>10</t>
        </is>
      </c>
      <c r="B9" s="92" t="inlineStr">
        <is>
          <t>TURISTIKA</t>
        </is>
      </c>
      <c r="C9" s="92">
        <f>CONCATENATE(A9," - ",B9)</f>
        <v/>
      </c>
    </row>
    <row r="10" ht="12.75" customHeight="1" s="48">
      <c r="A10" s="92" t="inlineStr">
        <is>
          <t>11</t>
        </is>
      </c>
      <c r="B10" s="92" t="inlineStr">
        <is>
          <t>STUDIUM (ŠKOLENÍ, STÁŽ)</t>
        </is>
      </c>
      <c r="C10" s="92">
        <f>CONCATENATE(A10," - ",B10)</f>
        <v/>
      </c>
    </row>
    <row r="11" ht="12.75" customHeight="1" s="48">
      <c r="A11" s="92" t="inlineStr">
        <is>
          <t>12</t>
        </is>
      </c>
      <c r="B11" s="92" t="inlineStr">
        <is>
          <t>TRANZIT (průjezd)</t>
        </is>
      </c>
      <c r="C11" s="92">
        <f>CONCATENATE(A11," - ",B11)</f>
        <v/>
      </c>
    </row>
    <row r="12" ht="12.75" customHeight="1" s="48">
      <c r="A12" s="92" t="inlineStr">
        <is>
          <t>13</t>
        </is>
      </c>
      <c r="B12" s="92" t="inlineStr">
        <is>
          <t>LETIŠTNÍ TRANZIT (letištní průjezd)</t>
        </is>
      </c>
      <c r="C12" s="92">
        <f>CONCATENATE(A12," - ",B12)</f>
        <v/>
      </c>
    </row>
    <row r="13" ht="12.75" customHeight="1" s="48">
      <c r="A13" s="92" t="inlineStr">
        <is>
          <t>27</t>
        </is>
      </c>
      <c r="B13" s="92" t="inlineStr">
        <is>
          <t>ZAMĚSTNÁNÍ</t>
        </is>
      </c>
      <c r="C13" s="92">
        <f>CONCATENATE(A13," - ",B13)</f>
        <v/>
      </c>
    </row>
    <row r="14" ht="12.75" customHeight="1" s="48">
      <c r="A14" s="93" t="n">
        <v>93</v>
      </c>
      <c r="B14" s="92" t="inlineStr">
        <is>
          <t>Tzv. ADS vízum udělované občanu Číny</t>
        </is>
      </c>
      <c r="C14" s="92">
        <f>CONCATENATE(A14," - ",B14)</f>
        <v/>
      </c>
    </row>
    <row r="15" ht="12.75" customHeight="1" s="48">
      <c r="A15" s="92" t="inlineStr">
        <is>
          <t>99</t>
        </is>
      </c>
      <c r="B15" s="92" t="inlineStr">
        <is>
          <t>OSTATNÍ / JINÉ</t>
        </is>
      </c>
      <c r="C15" s="92">
        <f>CONCATENATE(A15," - ",B15)</f>
        <v/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printOptions horizontalCentered="0" verticalCentered="0" headings="0" gridLines="0" gridLinesSet="1"/>
  <pageMargins left="0.7" right="0.7" top="0.75" bottom="0.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:title>UBYTOVANI - verze 19</dc:title>
  <dc:description>Podpora short date format ve Win8</dc:description>
  <dc:language>en-US</dc:language>
  <dcterms:created xsi:type="dcterms:W3CDTF">2025-07-28T17:43:01Z</dcterms:created>
  <dcterms:modified xsi:type="dcterms:W3CDTF">2025-07-29T22:44:59Z</dcterms:modified>
  <cp:lastModifiedBy>HI, Recepce 6</cp:lastModifiedBy>
  <cp:revision>0</cp:revision>
  <cp:lastPrinted>2024-06-30T19:47:21Z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_AdHocReviewCycleID" fmtid="{D5CDD505-2E9C-101B-9397-08002B2CF9AE}" pid="2">
    <vt:i4>62691439</vt:i4>
  </property>
  <property name="_AuthorEmail" fmtid="{D5CDD505-2E9C-101B-9397-08002B2CF9AE}" pid="3">
    <vt:lpwstr>martin.dolezal@holidayinn.cz_x0000__x0000__x0000_</vt:lpwstr>
  </property>
  <property name="_AuthorEmailDisplayName" fmtid="{D5CDD505-2E9C-101B-9397-08002B2CF9AE}" pid="4">
    <vt:lpwstr>Martin Doležal_x0000_</vt:lpwstr>
  </property>
  <property name="_EmailSubject" fmtid="{D5CDD505-2E9C-101B-9397-08002B2CF9AE}" pid="5">
    <vt:lpwstr>Denisa_x0000_</vt:lpwstr>
  </property>
  <property name="_NewReviewCycle" fmtid="{D5CDD505-2E9C-101B-9397-08002B2CF9AE}" pid="6">
    <vt:lpwstr>_x0000__x0000__x0000_</vt:lpwstr>
  </property>
  <property name="_ReviewingToolsShownOnce" fmtid="{D5CDD505-2E9C-101B-9397-08002B2CF9AE}" pid="7">
    <vt:lpwstr>_x0000__x0000__x0000_</vt:lpwstr>
  </property>
</Properties>
</file>