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ento_sešit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name="Ubytovatel" sheetId="1" state="visible" r:id="rId1"/>
    <sheet name="Seznam" sheetId="2" state="visible" r:id="rId2"/>
    <sheet name="STP" sheetId="3" state="visible" r:id="rId3"/>
    <sheet name="UcelPobytu" sheetId="4" state="visible" r:id="rId4"/>
  </sheets>
  <definedNames>
    <definedName name="cd">Ubytovatel!$D$20</definedName>
    <definedName name="cob">Ubytovatel!$D$16</definedName>
    <definedName name="cor">Ubytovatel!$D$22</definedName>
    <definedName name="crtime">Ubytovatel!$B$44</definedName>
    <definedName name="crtimecopy">Ubytovatel!$D$32</definedName>
    <definedName name="dfltpath">Ubytovatel!$B$41</definedName>
    <definedName name="dfltpathi">Ubytovatel!$B$42</definedName>
    <definedName name="idub">Ubytovatel!$D$4</definedName>
    <definedName name="ifname">Ubytovatel!$B$43</definedName>
    <definedName name="ifnamecopy">Ubytovatel!$D$30</definedName>
    <definedName name="kontakt">Ubytovatel!$D$10</definedName>
    <definedName name="ob">Ubytovatel!$D$14</definedName>
    <definedName name="obdobi_do">Ubytovatel!$D$28</definedName>
    <definedName name="obdobi_od">Ubytovatel!$D$26</definedName>
    <definedName name="okr">Ubytovatel!$D$12</definedName>
    <definedName name="psc">Ubytovatel!$D$24</definedName>
    <definedName name="uby">Ubytovatel!$D$8</definedName>
    <definedName name="uli">Ubytovatel!$D$18</definedName>
    <definedName name="zkratka">Ubytovatel!$D$6</definedName>
    <definedName name="_xlnm._FilterDatabase" localSheetId="1" hidden="1">'Seznam'!$A$1:$P$1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00\ 00"/>
    <numFmt numFmtId="165" formatCode="dd\.mm\.yyyy"/>
  </numFmts>
  <fonts count="12">
    <font>
      <name val="Arial CE"/>
      <charset val="238"/>
      <sz val="10"/>
    </font>
    <font>
      <name val="Tahoma"/>
      <family val="2"/>
      <sz val="10"/>
    </font>
    <font>
      <name val="Tahoma"/>
      <family val="2"/>
      <b val="1"/>
      <sz val="12"/>
    </font>
    <font>
      <name val="Arial"/>
      <family val="2"/>
      <b val="1"/>
      <sz val="12"/>
    </font>
    <font>
      <name val="Arial"/>
      <family val="2"/>
      <sz val="10"/>
    </font>
    <font>
      <name val="Arial"/>
      <family val="2"/>
      <b val="1"/>
      <sz val="10"/>
    </font>
    <font>
      <name val="Arial"/>
      <charset val="238"/>
      <family val="2"/>
      <b val="1"/>
      <sz val="12"/>
    </font>
    <font>
      <name val="Tahoma"/>
      <family val="2"/>
      <b val="1"/>
      <sz val="10"/>
    </font>
    <font>
      <name val="Tahoma"/>
      <charset val="238"/>
      <family val="2"/>
      <sz val="10"/>
    </font>
    <font>
      <name val="Arial"/>
      <charset val="238"/>
      <family val="2"/>
      <sz val="12"/>
    </font>
    <font>
      <name val="Arial CE"/>
      <charset val="238"/>
      <sz val="8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63"/>
      </right>
      <top/>
      <bottom/>
      <diagonal/>
    </border>
    <border>
      <left style="thin">
        <color indexed="9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3"/>
      </right>
      <top style="thin">
        <color indexed="9"/>
      </top>
      <bottom/>
      <diagonal/>
    </border>
    <border>
      <left style="thin">
        <color indexed="9"/>
      </left>
      <right style="thin">
        <color indexed="63"/>
      </right>
      <top style="thin">
        <color indexed="9"/>
      </top>
      <bottom/>
      <diagonal/>
    </border>
  </borders>
  <cellStyleXfs count="2">
    <xf numFmtId="0" fontId="0" fillId="0" borderId="0"/>
    <xf numFmtId="0" fontId="11" fillId="0" borderId="0"/>
  </cellStyleXfs>
  <cellXfs count="54">
    <xf numFmtId="0" fontId="0" fillId="0" borderId="0" pivotButton="0" quotePrefix="0" xfId="0"/>
    <xf numFmtId="0" fontId="1" fillId="0" borderId="0" pivotButton="0" quotePrefix="0" xfId="0"/>
    <xf numFmtId="0" fontId="1" fillId="0" borderId="0" applyAlignment="1" pivotButton="0" quotePrefix="0" xfId="0">
      <alignment horizontal="right"/>
    </xf>
    <xf numFmtId="0" fontId="1" fillId="2" borderId="0" applyAlignment="1" pivotButton="0" quotePrefix="0" xfId="0">
      <alignment horizontal="right"/>
    </xf>
    <xf numFmtId="0" fontId="1" fillId="2" borderId="0" pivotButton="0" quotePrefix="0" xfId="0"/>
    <xf numFmtId="49" fontId="1" fillId="2" borderId="0" applyAlignment="1" pivotButton="0" quotePrefix="0" xfId="0">
      <alignment horizontal="left"/>
    </xf>
    <xf numFmtId="1" fontId="1" fillId="2" borderId="0" applyAlignment="1" pivotButton="0" quotePrefix="0" xfId="0">
      <alignment horizontal="left"/>
    </xf>
    <xf numFmtId="0" fontId="1" fillId="2" borderId="0" applyAlignment="1" pivotButton="0" quotePrefix="0" xfId="0">
      <alignment horizontal="left"/>
    </xf>
    <xf numFmtId="0" fontId="1" fillId="2" borderId="1" applyAlignment="1" pivotButton="0" quotePrefix="0" xfId="0">
      <alignment horizontal="right"/>
    </xf>
    <xf numFmtId="0" fontId="1" fillId="2" borderId="2" pivotButton="0" quotePrefix="0" xfId="0"/>
    <xf numFmtId="0" fontId="1" fillId="2" borderId="3" applyAlignment="1" pivotButton="0" quotePrefix="0" xfId="0">
      <alignment horizontal="right"/>
    </xf>
    <xf numFmtId="0" fontId="1" fillId="2" borderId="4" applyAlignment="1" pivotButton="0" quotePrefix="0" xfId="0">
      <alignment horizontal="right"/>
    </xf>
    <xf numFmtId="0" fontId="1" fillId="2" borderId="4" pivotButton="0" quotePrefix="0" xfId="0"/>
    <xf numFmtId="0" fontId="1" fillId="2" borderId="5" pivotButton="0" quotePrefix="0" xfId="0"/>
    <xf numFmtId="14" fontId="1" fillId="2" borderId="0" applyAlignment="1" pivotButton="0" quotePrefix="0" xfId="0">
      <alignment horizontal="left"/>
    </xf>
    <xf numFmtId="0" fontId="1" fillId="0" borderId="0" pivotButton="0" quotePrefix="0" xfId="0"/>
    <xf numFmtId="0" fontId="3" fillId="2" borderId="1" applyAlignment="1" pivotButton="0" quotePrefix="0" xfId="0">
      <alignment horizontal="center"/>
    </xf>
    <xf numFmtId="0" fontId="2" fillId="2" borderId="0" applyAlignment="1" pivotButton="0" quotePrefix="0" xfId="0">
      <alignment horizontal="center"/>
    </xf>
    <xf numFmtId="0" fontId="2" fillId="2" borderId="2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3" borderId="0" applyAlignment="1" applyProtection="1" pivotButton="0" quotePrefix="0" xfId="0">
      <alignment horizontal="left"/>
      <protection locked="0" hidden="0"/>
    </xf>
    <xf numFmtId="49" fontId="1" fillId="3" borderId="0" applyAlignment="1" applyProtection="1" pivotButton="0" quotePrefix="0" xfId="0">
      <alignment horizontal="left"/>
      <protection locked="0" hidden="0"/>
    </xf>
    <xf numFmtId="1" fontId="1" fillId="3" borderId="0" applyAlignment="1" applyProtection="1" pivotButton="0" quotePrefix="0" xfId="0">
      <alignment horizontal="left"/>
      <protection locked="0" hidden="0"/>
    </xf>
    <xf numFmtId="164" fontId="1" fillId="3" borderId="0" applyAlignment="1" applyProtection="1" pivotButton="0" quotePrefix="0" xfId="0">
      <alignment horizontal="left"/>
      <protection locked="0" hidden="0"/>
    </xf>
    <xf numFmtId="49" fontId="4" fillId="0" borderId="0" applyProtection="1" pivotButton="0" quotePrefix="0" xfId="0">
      <protection locked="0" hidden="0"/>
    </xf>
    <xf numFmtId="49" fontId="4" fillId="0" borderId="0" applyAlignment="1" applyProtection="1" pivotButton="0" quotePrefix="0" xfId="0">
      <alignment horizontal="center"/>
      <protection locked="0" hidden="0"/>
    </xf>
    <xf numFmtId="49" fontId="4" fillId="0" borderId="0" pivotButton="0" quotePrefix="0" xfId="0"/>
    <xf numFmtId="0" fontId="1" fillId="0" borderId="0" applyAlignment="1" applyProtection="1" pivotButton="0" quotePrefix="0" xfId="0">
      <alignment horizontal="left"/>
      <protection locked="0" hidden="0"/>
    </xf>
    <xf numFmtId="49" fontId="1" fillId="3" borderId="0" applyAlignment="1" applyProtection="1" pivotButton="0" quotePrefix="0" xfId="0">
      <alignment horizontal="left" wrapText="1"/>
      <protection locked="0" hidden="0"/>
    </xf>
    <xf numFmtId="49" fontId="5" fillId="2" borderId="6" applyAlignment="1" applyProtection="1" pivotButton="0" quotePrefix="0" xfId="0">
      <alignment horizontal="center" vertical="center" wrapText="1"/>
      <protection locked="0" hidden="0"/>
    </xf>
    <xf numFmtId="49" fontId="5" fillId="2" borderId="6" applyAlignment="1" pivotButton="0" quotePrefix="0" xfId="0">
      <alignment vertical="center" wrapText="1"/>
    </xf>
    <xf numFmtId="49" fontId="5" fillId="0" borderId="0" applyAlignment="1" pivotButton="0" quotePrefix="0" xfId="0">
      <alignment vertical="center" wrapText="1"/>
    </xf>
    <xf numFmtId="49" fontId="1" fillId="0" borderId="0" applyAlignment="1" applyProtection="1" pivotButton="0" quotePrefix="0" xfId="0">
      <alignment horizontal="left"/>
      <protection locked="0" hidden="0"/>
    </xf>
    <xf numFmtId="0" fontId="1" fillId="3" borderId="0" applyAlignment="1" applyProtection="1" pivotButton="0" quotePrefix="0" xfId="0">
      <alignment horizontal="left"/>
      <protection locked="1" hidden="1"/>
    </xf>
    <xf numFmtId="0" fontId="1" fillId="0" borderId="0" applyAlignment="1" applyProtection="1" pivotButton="0" quotePrefix="0" xfId="0">
      <alignment horizontal="left"/>
      <protection locked="1" hidden="1"/>
    </xf>
    <xf numFmtId="0" fontId="7" fillId="2" borderId="0" applyAlignment="1" applyProtection="1" pivotButton="0" quotePrefix="0" xfId="0">
      <alignment horizontal="center"/>
      <protection locked="1" hidden="1"/>
    </xf>
    <xf numFmtId="0" fontId="1" fillId="2" borderId="0" applyProtection="1" pivotButton="0" quotePrefix="0" xfId="0">
      <protection locked="1" hidden="1"/>
    </xf>
    <xf numFmtId="0" fontId="2" fillId="2" borderId="0" applyAlignment="1" applyProtection="1" pivotButton="0" quotePrefix="0" xfId="0">
      <alignment horizontal="center"/>
      <protection locked="1" hidden="1"/>
    </xf>
    <xf numFmtId="0" fontId="8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left"/>
    </xf>
    <xf numFmtId="14" fontId="5" fillId="2" borderId="6" applyAlignment="1" pivotButton="0" quotePrefix="0" xfId="0">
      <alignment vertical="center" wrapText="1"/>
    </xf>
    <xf numFmtId="14" fontId="4" fillId="0" borderId="0" applyProtection="1" pivotButton="0" quotePrefix="0" xfId="0">
      <protection locked="0" hidden="0"/>
    </xf>
    <xf numFmtId="165" fontId="1" fillId="3" borderId="0" applyAlignment="1" applyProtection="1" pivotButton="0" quotePrefix="0" xfId="0">
      <alignment horizontal="left"/>
      <protection locked="0" hidden="0"/>
    </xf>
    <xf numFmtId="14" fontId="1" fillId="0" borderId="0" pivotButton="0" quotePrefix="0" xfId="0"/>
    <xf numFmtId="1" fontId="1" fillId="3" borderId="0" applyAlignment="1" applyProtection="1" pivotButton="0" quotePrefix="1" xfId="0">
      <alignment horizontal="left"/>
      <protection locked="0" hidden="0"/>
    </xf>
    <xf numFmtId="49" fontId="4" fillId="2" borderId="0" applyProtection="1" pivotButton="0" quotePrefix="0" xfId="0">
      <protection locked="0" hidden="0"/>
    </xf>
    <xf numFmtId="0" fontId="6" fillId="2" borderId="7" applyAlignment="1" pivotButton="0" quotePrefix="0" xfId="0">
      <alignment horizontal="right"/>
    </xf>
    <xf numFmtId="0" fontId="2" fillId="2" borderId="8" applyAlignment="1" pivotButton="0" quotePrefix="0" xfId="0">
      <alignment horizontal="right"/>
    </xf>
    <xf numFmtId="0" fontId="2" fillId="2" borderId="9" applyAlignment="1" pivotButton="0" quotePrefix="0" xfId="0">
      <alignment horizontal="right"/>
    </xf>
    <xf numFmtId="0" fontId="6" fillId="2" borderId="10" applyAlignment="1" pivotButton="0" quotePrefix="0" xfId="0">
      <alignment horizontal="right"/>
    </xf>
    <xf numFmtId="0" fontId="0" fillId="0" borderId="8" pivotButton="0" quotePrefix="0" xfId="0"/>
    <xf numFmtId="0" fontId="0" fillId="0" borderId="9" pivotButton="0" quotePrefix="0" xfId="0"/>
    <xf numFmtId="164" fontId="1" fillId="3" borderId="0" applyAlignment="1" applyProtection="1" pivotButton="0" quotePrefix="0" xfId="0">
      <alignment horizontal="left"/>
      <protection locked="0" hidden="0"/>
    </xf>
    <xf numFmtId="165" fontId="1" fillId="3" borderId="0" applyAlignment="1" applyProtection="1" pivotButton="0" quotePrefix="0" xfId="0">
      <alignment horizontal="left"/>
      <protection locked="0" hidden="0"/>
    </xf>
  </cellXfs>
  <cellStyles count="2">
    <cellStyle name="Normální" xfId="0" builtinId="0"/>
    <cellStyle name="Normální 2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>
  <sheetPr codeName="List3">
    <outlinePr summaryBelow="1" summaryRight="1"/>
    <pageSetUpPr/>
  </sheetPr>
  <dimension ref="B2:L44"/>
  <sheetViews>
    <sheetView showGridLines="0" tabSelected="1" zoomScaleNormal="100" workbookViewId="0">
      <selection activeCell="M12" sqref="M12"/>
    </sheetView>
  </sheetViews>
  <sheetFormatPr baseColWidth="8" defaultRowHeight="12.75"/>
  <cols>
    <col width="9.140625" customWidth="1" style="15" min="1" max="1"/>
    <col width="22.140625" customWidth="1" style="2" min="2" max="2"/>
    <col width="1" customWidth="1" style="2" min="3" max="3"/>
    <col width="61.5703125" customWidth="1" style="2" min="4" max="4"/>
    <col width="2.28515625" customWidth="1" style="15" min="5" max="5"/>
    <col width="0.140625" customWidth="1" style="15" min="6" max="6"/>
    <col width="9.140625" customWidth="1" style="15" min="7" max="7"/>
    <col width="11.140625" bestFit="1" customWidth="1" style="15" min="8" max="8"/>
    <col width="9.140625" customWidth="1" style="15" min="9" max="16384"/>
  </cols>
  <sheetData>
    <row r="1" ht="27.75" customHeight="1"/>
    <row r="2" ht="21" customHeight="1">
      <c r="B2" s="49" t="inlineStr">
        <is>
          <t>CIS – SEZNAM UBYTOVANÝCH                           (verze SDF)</t>
        </is>
      </c>
      <c r="C2" s="50" t="n"/>
      <c r="D2" s="50" t="n"/>
      <c r="E2" s="50" t="n"/>
      <c r="F2" s="51" t="n"/>
    </row>
    <row r="3" ht="21" customHeight="1">
      <c r="B3" s="16" t="n"/>
      <c r="C3" s="17" t="n"/>
      <c r="D3" s="17" t="n"/>
      <c r="E3" s="17" t="n"/>
      <c r="F3" s="18" t="n"/>
    </row>
    <row r="4" ht="12.75" customHeight="1">
      <c r="B4" s="8" t="inlineStr">
        <is>
          <t>IDUB:</t>
        </is>
      </c>
      <c r="C4" s="19" t="n"/>
      <c r="D4" s="44" t="n">
        <v>100363080249</v>
      </c>
      <c r="E4" s="35">
        <f>checkidub(idub)</f>
        <v/>
      </c>
      <c r="F4" s="18" t="n"/>
    </row>
    <row r="5" ht="5.1" customHeight="1">
      <c r="B5" s="8" t="n"/>
      <c r="C5" s="3" t="n"/>
      <c r="D5" s="3" t="n"/>
      <c r="E5" s="36" t="n"/>
      <c r="F5" s="9" t="n"/>
    </row>
    <row r="6" ht="12.75" customHeight="1">
      <c r="B6" s="8" t="inlineStr">
        <is>
          <t>(Vám přidělená) zkratka:</t>
        </is>
      </c>
      <c r="C6" s="19" t="n"/>
      <c r="D6" s="38" t="inlineStr">
        <is>
          <t>FMILV</t>
        </is>
      </c>
      <c r="E6" s="37" t="n"/>
      <c r="F6" s="18" t="n"/>
    </row>
    <row r="7" ht="5.1" customHeight="1">
      <c r="B7" s="8" t="n"/>
      <c r="C7" s="3" t="n"/>
      <c r="D7" s="3" t="n"/>
      <c r="E7" s="36" t="n"/>
      <c r="F7" s="9" t="n"/>
    </row>
    <row r="8">
      <c r="B8" s="8" t="inlineStr">
        <is>
          <t>název ubytovatele:</t>
        </is>
      </c>
      <c r="C8" s="3" t="n"/>
      <c r="D8" s="21" t="inlineStr">
        <is>
          <t>Holiday Inn Prague Congress Centre</t>
        </is>
      </c>
      <c r="E8" s="36" t="n"/>
      <c r="F8" s="9" t="n"/>
    </row>
    <row r="9" ht="5.1" customHeight="1">
      <c r="B9" s="8" t="n"/>
      <c r="C9" s="3" t="n"/>
      <c r="D9" s="3" t="n"/>
      <c r="E9" s="36" t="n"/>
      <c r="F9" s="9" t="n"/>
    </row>
    <row r="10">
      <c r="B10" s="8" t="inlineStr">
        <is>
          <t>kontakt:</t>
        </is>
      </c>
      <c r="C10" s="3" t="n"/>
      <c r="D10" s="28" t="inlineStr">
        <is>
          <t>Marcela Neradova 296895055</t>
        </is>
      </c>
      <c r="E10" s="36" t="n"/>
      <c r="F10" s="9" t="n"/>
    </row>
    <row r="11" ht="5.1" customHeight="1">
      <c r="B11" s="8" t="n"/>
      <c r="C11" s="3" t="n"/>
      <c r="D11" s="5" t="n"/>
      <c r="E11" s="36" t="n"/>
      <c r="F11" s="9" t="n"/>
    </row>
    <row r="12">
      <c r="B12" s="8" t="inlineStr">
        <is>
          <t>okres:</t>
        </is>
      </c>
      <c r="C12" s="3" t="n"/>
      <c r="D12" s="21" t="inlineStr">
        <is>
          <t>Praha</t>
        </is>
      </c>
      <c r="E12" s="36" t="n"/>
      <c r="F12" s="9" t="n"/>
    </row>
    <row r="13" ht="5.1" customHeight="1">
      <c r="B13" s="8" t="n"/>
      <c r="C13" s="3" t="n"/>
      <c r="D13" s="5" t="n"/>
      <c r="E13" s="36" t="n"/>
      <c r="F13" s="9" t="n"/>
    </row>
    <row r="14">
      <c r="B14" s="8" t="inlineStr">
        <is>
          <t>obec:</t>
        </is>
      </c>
      <c r="C14" s="3" t="n"/>
      <c r="D14" s="21" t="inlineStr">
        <is>
          <t>Praha</t>
        </is>
      </c>
      <c r="E14" s="36" t="n"/>
      <c r="F14" s="9" t="n"/>
    </row>
    <row r="15" ht="5.1" customHeight="1">
      <c r="B15" s="8" t="n"/>
      <c r="C15" s="3" t="n"/>
      <c r="D15" s="5" t="n"/>
      <c r="E15" s="36" t="n"/>
      <c r="F15" s="9" t="n"/>
    </row>
    <row r="16">
      <c r="B16" s="8" t="inlineStr">
        <is>
          <t>část obce:</t>
        </is>
      </c>
      <c r="C16" s="3" t="n"/>
      <c r="D16" s="21" t="inlineStr">
        <is>
          <t>Praha 4</t>
        </is>
      </c>
      <c r="E16" s="36" t="n"/>
      <c r="F16" s="9" t="n"/>
    </row>
    <row r="17" ht="5.1" customHeight="1">
      <c r="B17" s="8" t="n"/>
      <c r="C17" s="3" t="n"/>
      <c r="D17" s="5" t="n"/>
      <c r="E17" s="36" t="n"/>
      <c r="F17" s="9" t="n"/>
    </row>
    <row r="18">
      <c r="B18" s="8" t="inlineStr">
        <is>
          <t>ulice:</t>
        </is>
      </c>
      <c r="C18" s="3" t="n"/>
      <c r="D18" s="21" t="inlineStr">
        <is>
          <t>5.kvetna</t>
        </is>
      </c>
      <c r="E18" s="36" t="n"/>
      <c r="F18" s="9" t="n"/>
    </row>
    <row r="19" ht="5.1" customHeight="1">
      <c r="B19" s="8" t="n"/>
      <c r="C19" s="3" t="n"/>
      <c r="D19" s="5" t="n"/>
      <c r="E19" s="36" t="n"/>
      <c r="F19" s="9" t="n"/>
    </row>
    <row r="20">
      <c r="B20" s="8" t="inlineStr">
        <is>
          <t>domovní číslo:</t>
        </is>
      </c>
      <c r="C20" s="3" t="n"/>
      <c r="D20" s="22" t="n">
        <v>65</v>
      </c>
      <c r="E20" s="36">
        <f>checkcd(cd)</f>
        <v/>
      </c>
      <c r="F20" s="9" t="n"/>
    </row>
    <row r="21" ht="5.1" customHeight="1">
      <c r="B21" s="8" t="n"/>
      <c r="C21" s="3" t="n"/>
      <c r="D21" s="6" t="n"/>
      <c r="E21" s="36" t="n"/>
      <c r="F21" s="9" t="n"/>
    </row>
    <row r="22">
      <c r="B22" s="8" t="inlineStr">
        <is>
          <t>orientační číslo:</t>
        </is>
      </c>
      <c r="C22" s="3" t="n"/>
      <c r="D22" s="20" t="n">
        <v>1</v>
      </c>
      <c r="E22" s="36">
        <f>checkcor(cor)</f>
        <v/>
      </c>
      <c r="F22" s="9" t="n"/>
      <c r="H22" s="43" t="n"/>
    </row>
    <row r="23" ht="5.1" customHeight="1">
      <c r="B23" s="8" t="n"/>
      <c r="C23" s="3" t="n"/>
      <c r="D23" s="7" t="n"/>
      <c r="E23" s="36" t="n"/>
      <c r="F23" s="9" t="n"/>
    </row>
    <row r="24">
      <c r="B24" s="8" t="inlineStr">
        <is>
          <t>PSČ:</t>
        </is>
      </c>
      <c r="C24" s="3" t="n"/>
      <c r="D24" s="52" t="n">
        <v>14021</v>
      </c>
      <c r="E24" s="36" t="n"/>
      <c r="F24" s="9" t="n"/>
    </row>
    <row r="25" ht="25.5" customHeight="1">
      <c r="B25" s="8" t="n"/>
      <c r="C25" s="3" t="n"/>
      <c r="D25" s="7" t="n"/>
      <c r="E25" s="4" t="n"/>
      <c r="F25" s="9" t="n"/>
    </row>
    <row r="26">
      <c r="B26" s="8" t="inlineStr">
        <is>
          <t>období od:</t>
        </is>
      </c>
      <c r="C26" s="3" t="n"/>
      <c r="D26" s="53" t="n">
        <v>42736</v>
      </c>
      <c r="E26" s="4" t="n"/>
      <c r="F26" s="9" t="n"/>
    </row>
    <row r="27" ht="5.1" customHeight="1">
      <c r="B27" s="8" t="n"/>
      <c r="C27" s="3" t="n"/>
      <c r="D27" s="14" t="n"/>
      <c r="E27" s="4" t="n"/>
      <c r="F27" s="9" t="n"/>
    </row>
    <row r="28">
      <c r="B28" s="8" t="inlineStr">
        <is>
          <t>období do:</t>
        </is>
      </c>
      <c r="C28" s="3" t="n"/>
      <c r="D28" s="53" t="n">
        <v>47149</v>
      </c>
      <c r="E28" s="4" t="n"/>
      <c r="F28" s="9" t="n"/>
      <c r="L28" s="15" t="n"/>
    </row>
    <row r="29">
      <c r="B29" s="8" t="n"/>
      <c r="C29" s="3" t="n"/>
      <c r="D29" s="3" t="n"/>
      <c r="E29" s="4" t="n"/>
      <c r="F29" s="9" t="n"/>
    </row>
    <row r="30">
      <c r="B30" s="8" t="inlineStr">
        <is>
          <t>importovaný soubor:</t>
        </is>
      </c>
      <c r="C30" s="3" t="n"/>
      <c r="D30" s="33">
        <f>IF(ifname=0,"",ifname)</f>
        <v/>
      </c>
      <c r="E30" s="4" t="n"/>
      <c r="F30" s="9" t="n"/>
    </row>
    <row r="31" ht="5.1" customHeight="1">
      <c r="B31" s="8" t="n"/>
      <c r="C31" s="3" t="n"/>
      <c r="D31" s="14" t="n"/>
      <c r="E31" s="4" t="n"/>
      <c r="F31" s="9" t="n"/>
    </row>
    <row r="32">
      <c r="B32" s="8" t="inlineStr">
        <is>
          <t>datum vytvoření:</t>
        </is>
      </c>
      <c r="C32" s="3" t="n"/>
      <c r="D32" s="34">
        <f>IF(crtime=0,"",crtime)</f>
        <v/>
      </c>
      <c r="E32" s="4" t="n"/>
      <c r="F32" s="9" t="n"/>
      <c r="L32" s="15" t="n"/>
    </row>
    <row r="33" ht="26.25" customHeight="1">
      <c r="B33" s="8" t="n"/>
      <c r="C33" s="3" t="n"/>
      <c r="D33" s="3" t="n"/>
      <c r="E33" s="4" t="n"/>
      <c r="F33" s="9" t="n"/>
    </row>
    <row r="34" ht="28.5" customHeight="1">
      <c r="B34" s="8" t="n"/>
      <c r="C34" s="3" t="n"/>
      <c r="D34" s="3" t="n"/>
      <c r="E34" s="4" t="n"/>
      <c r="F34" s="9" t="n"/>
    </row>
    <row r="35">
      <c r="B35" s="8" t="n"/>
      <c r="C35" s="3" t="n"/>
      <c r="D35" s="3" t="n"/>
      <c r="E35" s="4" t="n"/>
      <c r="F35" s="9" t="n"/>
    </row>
    <row r="36">
      <c r="B36" s="8" t="n"/>
      <c r="C36" s="3" t="n"/>
      <c r="D36" s="3" t="n"/>
      <c r="E36" s="4" t="n"/>
      <c r="F36" s="9" t="n"/>
    </row>
    <row r="37">
      <c r="B37" s="10" t="n"/>
      <c r="C37" s="11" t="n"/>
      <c r="D37" s="11" t="n"/>
      <c r="E37" s="12" t="n"/>
      <c r="F37" s="13" t="n"/>
    </row>
    <row r="39" hidden="1"/>
    <row r="40" hidden="1" ht="14.25" customHeight="1"/>
    <row r="41" hidden="1">
      <c r="B41" s="27" t="inlineStr">
        <is>
          <t>C:\Users\recepce.6\OneDrive - Prague Congress Centre\Plocha\Cizinec. Policie\ubydata export\</t>
        </is>
      </c>
    </row>
    <row r="42" hidden="1">
      <c r="B42" s="27" t="inlineStr">
        <is>
          <t>O:\130-recepce\recepce\Opera export\</t>
        </is>
      </c>
    </row>
    <row r="43" hidden="1">
      <c r="B43" s="32" t="inlineStr">
        <is>
          <t>O:\130-recepce\recepce\Opera export\prgnp_police_export_new79030306.unl</t>
        </is>
      </c>
    </row>
    <row r="44" hidden="1">
      <c r="B44" s="32" t="inlineStr">
        <is>
          <t>2025.07.12 02:01:24</t>
        </is>
      </c>
    </row>
    <row r="45" hidden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D8AF"/>
  <mergeCells count="1">
    <mergeCell ref="B2:F2"/>
  </mergeCells>
  <dataValidations count="15">
    <dataValidation sqref="D27 D31" showDropDown="0" showInputMessage="1" showErrorMessage="1" allowBlank="1" type="date">
      <formula1>37987</formula1>
      <formula2>43831</formula2>
    </dataValidation>
    <dataValidation sqref="D21" showDropDown="0" showInputMessage="1" showErrorMessage="1" allowBlank="0" type="whole">
      <formula1>1</formula1>
      <formula2>9999</formula2>
    </dataValidation>
    <dataValidation sqref="D13 D15 D17" showDropDown="0" showInputMessage="1" showErrorMessage="1" allowBlank="0" type="textLength" operator="greaterThan">
      <formula1>1</formula1>
    </dataValidation>
    <dataValidation sqref="D28" showDropDown="0" showInputMessage="1" showErrorMessage="1" allowBlank="1" promptTitle="Období do" prompt="Konec intervalu povoleného data ubytování. Slouží pro kontrolu vkládaných dat._x000a_Musí být vyšší, než počátek intervalu." type="date" operator="greaterThanOrEqual">
      <formula1>D26</formula1>
    </dataValidation>
    <dataValidation sqref="D4" showDropDown="0" showInputMessage="1" showErrorMessage="1" allowBlank="0" errorTitle="Identifikátor ubytovatele" error="Povinný údaj." promptTitle="Identifikátor ubytovatele" prompt="Zadejte přidělený identifikátor." type="textLength">
      <formula1>2</formula1>
      <formula2>14</formula2>
    </dataValidation>
    <dataValidation sqref="D10" showDropDown="0" showInputMessage="1" showErrorMessage="1" allowBlank="1" error="Nesprávný počet znaků." promptTitle="Kontaktní osoba" prompt="Uveďte i telefon popř. e-mail. _x000a_Maximální dálka 50 znaků." type="textLength">
      <formula1>1</formula1>
      <formula2>50</formula2>
    </dataValidation>
    <dataValidation sqref="D8" showDropDown="0" showInputMessage="1" showErrorMessage="1" allowBlank="0" errorTitle="Název ubytovatele" error="Povinný údaj." promptTitle="Název ubytovatele" prompt="Zadejte název ubytovatele. Maximální délka je 35 znaků." type="textLength">
      <formula1>1</formula1>
      <formula2>35</formula2>
    </dataValidation>
    <dataValidation sqref="D12" showDropDown="0" showInputMessage="1" showErrorMessage="1" allowBlank="0" errorTitle="Okres" error="Povinný údaj." promptTitle="Okres" prompt="Zadejte název okresu." type="textLength">
      <formula1>4</formula1>
      <formula2>32</formula2>
    </dataValidation>
    <dataValidation sqref="D14" showDropDown="0" showInputMessage="1" showErrorMessage="1" allowBlank="0" errorTitle="Obec" error="Povinný údaj." promptTitle="Obec" prompt="Zadejte název obce." type="textLength">
      <formula1>2</formula1>
      <formula2>48</formula2>
    </dataValidation>
    <dataValidation sqref="D16" showDropDown="0" showInputMessage="1" showErrorMessage="1" allowBlank="0" errorTitle="Část obce" error="Povinný údaj." promptTitle="Část obce" prompt="Zadejte název části obce." type="textLength">
      <formula1>2</formula1>
      <formula2>48</formula2>
    </dataValidation>
    <dataValidation sqref="D18" showDropDown="0" showInputMessage="1" showErrorMessage="1" allowBlank="1" promptTitle="Ulice" prompt="Zadejte název veřejného prostranství (ulice, náměstí, ...)" type="textLength">
      <formula1>2</formula1>
      <formula2>48</formula2>
    </dataValidation>
    <dataValidation sqref="D20" showDropDown="0" showInputMessage="1" showErrorMessage="1" allowBlank="0" errorTitle="Domovní číslo" error="Povinný údaj." promptTitle="Domovní číslo" prompt="Zadejte číslo popisné (hodnoty 1 až 9999), nebo číslo evidenční (hodnoty 1E až 9999E)." type="textLength">
      <formula1>1</formula1>
      <formula2>5</formula2>
    </dataValidation>
    <dataValidation sqref="D22" showDropDown="0" showInputMessage="1" showErrorMessage="1" allowBlank="1" promptTitle="Orientační číslo" prompt="Zadejte číslo orientační v rozsahu 1 až 999 případně doplněné znakem čísla orientačního (písmeno a až z)." type="textLength">
      <formula1>1</formula1>
      <formula2>4</formula2>
    </dataValidation>
    <dataValidation sqref="D24" showDropDown="0" showInputMessage="1" showErrorMessage="1" allowBlank="1" promptTitle="PSČ" prompt="Zadejte pětimístné doručovací poštovní směrovací číslo." type="whole">
      <formula1>10000</formula1>
      <formula2>99999</formula2>
    </dataValidation>
    <dataValidation sqref="D26" showDropDown="0" showInputMessage="1" showErrorMessage="1" allowBlank="1" promptTitle="Období od" prompt="Počátek intervalu povoleného data ubytování. Slouží pro kontrolu vkládaných dat." type="date">
      <formula1>DATE(2004,1,1)</formula1>
      <formula2>DATE(2020,1,1)</formula2>
    </dataValidation>
  </dataValidations>
  <pageMargins left="0.787401575" right="0.787401575" top="0.984251969" bottom="0.984251969" header="0.4921259845" footer="0.4921259845"/>
  <pageSetup orientation="portrait" paperSize="9" horizontalDpi="1200" verticalDpi="1200"/>
</worksheet>
</file>

<file path=xl/worksheets/sheet2.xml><?xml version="1.0" encoding="utf-8"?>
<worksheet xmlns="http://schemas.openxmlformats.org/spreadsheetml/2006/main">
  <sheetPr codeName="List1">
    <outlinePr summaryBelow="1" summaryRight="1"/>
    <pageSetUpPr fitToPage="1"/>
  </sheetPr>
  <dimension ref="A1:P53"/>
  <sheetViews>
    <sheetView zoomScaleNormal="100" workbookViewId="0">
      <pane ySplit="1" topLeftCell="A8" activePane="bottomLeft" state="frozen"/>
      <selection pane="bottomLeft" activeCell="G46" sqref="G46"/>
    </sheetView>
  </sheetViews>
  <sheetFormatPr baseColWidth="8" defaultRowHeight="12.75"/>
  <cols>
    <col width="2.7109375" customWidth="1" style="25" min="1" max="1"/>
    <col width="12.28515625" customWidth="1" style="41" min="2" max="3"/>
    <col width="29.140625" customWidth="1" style="24" min="4" max="5"/>
    <col width="4.28515625" customWidth="1" style="24" min="6" max="6"/>
    <col width="11.140625" customWidth="1" style="41" min="7" max="7"/>
    <col hidden="1" width="8" customWidth="1" style="24" min="8" max="8"/>
    <col hidden="1" width="0.42578125" customWidth="1" style="24" min="9" max="9"/>
    <col width="9.5703125" bestFit="1" customWidth="1" style="24" min="10" max="10"/>
    <col width="56.5703125" customWidth="1" style="24" min="11" max="11"/>
    <col width="15.5703125" bestFit="1" customWidth="1" style="24" min="12" max="12"/>
    <col width="25.5703125" customWidth="1" style="24" min="13" max="13"/>
    <col width="12.140625" customWidth="1" style="24" min="14" max="14"/>
    <col width="0.140625" customWidth="1" style="24" min="15" max="15"/>
    <col width="28.42578125" customWidth="1" style="24" min="16" max="16"/>
    <col width="3.28515625" bestFit="1" customWidth="1" style="26" min="17" max="17"/>
    <col width="13.5703125" bestFit="1" customWidth="1" style="26" min="18" max="18"/>
    <col width="7.7109375" bestFit="1" customWidth="1" style="26" min="19" max="19"/>
    <col width="6.5703125" bestFit="1" customWidth="1" style="26" min="20" max="20"/>
    <col width="5.85546875" bestFit="1" customWidth="1" style="26" min="21" max="21"/>
    <col width="9.140625" customWidth="1" style="26" min="22" max="16384"/>
  </cols>
  <sheetData>
    <row r="1" ht="49.5" customFormat="1" customHeight="1" s="31">
      <c r="A1" s="29" t="inlineStr">
        <is>
          <t>K</t>
        </is>
      </c>
      <c r="B1" s="40" t="inlineStr">
        <is>
          <t>pobyt od</t>
        </is>
      </c>
      <c r="C1" s="40" t="inlineStr">
        <is>
          <t>pobyt do</t>
        </is>
      </c>
      <c r="D1" s="30" t="inlineStr">
        <is>
          <t>příjmení</t>
        </is>
      </c>
      <c r="E1" s="30" t="inlineStr">
        <is>
          <t>jméno</t>
        </is>
      </c>
      <c r="F1" s="30" t="inlineStr">
        <is>
          <t>rodné jméno</t>
        </is>
      </c>
      <c r="G1" s="40" t="inlineStr">
        <is>
          <t>datum narození</t>
        </is>
      </c>
      <c r="H1" s="30" t="inlineStr">
        <is>
          <t>místo narození</t>
        </is>
      </c>
      <c r="I1" s="30" t="inlineStr">
        <is>
          <t>stát narození</t>
        </is>
      </c>
      <c r="J1" s="30" t="inlineStr">
        <is>
          <t>státní občanství</t>
        </is>
      </c>
      <c r="K1" s="30" t="inlineStr">
        <is>
          <t>,</t>
        </is>
      </c>
      <c r="L1" s="30" t="inlineStr">
        <is>
          <t>číslo cestovního dokladu</t>
        </is>
      </c>
      <c r="M1" s="30" t="inlineStr">
        <is>
          <t>číslo víza</t>
        </is>
      </c>
      <c r="N1" s="45" t="n"/>
      <c r="O1" s="30" t="inlineStr">
        <is>
          <t>SPZ</t>
        </is>
      </c>
      <c r="P1" s="30" t="inlineStr">
        <is>
          <t>poznámka</t>
        </is>
      </c>
    </row>
    <row r="2">
      <c r="B2" s="41" t="inlineStr">
        <is>
          <t>29.07.2025</t>
        </is>
      </c>
      <c r="C2" s="41" t="inlineStr">
        <is>
          <t>30.07.2025</t>
        </is>
      </c>
      <c r="D2" s="24" t="inlineStr">
        <is>
          <t>Matulay</t>
        </is>
      </c>
      <c r="E2" s="24" t="inlineStr">
        <is>
          <t>Matej</t>
        </is>
      </c>
      <c r="F2" s="24" t="n"/>
      <c r="G2" s="41" t="inlineStr">
        <is>
          <t>26.10.1969</t>
        </is>
      </c>
      <c r="H2" s="24" t="n"/>
      <c r="I2" s="24" t="n"/>
      <c r="J2" s="24" t="inlineStr">
        <is>
          <t>SVK</t>
        </is>
      </c>
      <c r="K2" s="24" t="inlineStr">
        <is>
          <t>CZ, Vng Energie Czech s.r.o., 11000, Praha</t>
        </is>
      </c>
      <c r="L2" s="24" t="inlineStr">
        <is>
          <t>NH603261</t>
        </is>
      </c>
      <c r="M2" s="24" t="inlineStr"/>
      <c r="N2" s="24" t="n">
        <v>10</v>
      </c>
      <c r="O2" s="24" t="n"/>
      <c r="P2" s="24" t="n"/>
    </row>
    <row r="3">
      <c r="B3" s="41" t="inlineStr">
        <is>
          <t>29.07.2025</t>
        </is>
      </c>
      <c r="C3" s="41" t="inlineStr">
        <is>
          <t>30.07.2025</t>
        </is>
      </c>
      <c r="D3" s="24" t="inlineStr">
        <is>
          <t>Tonkaz</t>
        </is>
      </c>
      <c r="E3" s="24" t="inlineStr">
        <is>
          <t>Veli</t>
        </is>
      </c>
      <c r="F3" s="24" t="n"/>
      <c r="G3" s="41" t="inlineStr">
        <is>
          <t>04.01.1981</t>
        </is>
      </c>
      <c r="H3" s="24" t="n"/>
      <c r="I3" s="24" t="n"/>
      <c r="J3" s="24" t="inlineStr">
        <is>
          <t>BEL</t>
        </is>
      </c>
      <c r="K3" s="24" t="inlineStr">
        <is>
          <t>BE, Av. De La Charmille 18, 1200, Bruxelles</t>
        </is>
      </c>
      <c r="L3" s="24" t="inlineStr">
        <is>
          <t>591971879680</t>
        </is>
      </c>
      <c r="M3" s="24" t="inlineStr"/>
      <c r="N3" s="24" t="n">
        <v>10</v>
      </c>
      <c r="O3" s="24" t="n"/>
      <c r="P3" s="24" t="n"/>
    </row>
    <row r="4">
      <c r="B4" s="41" t="inlineStr">
        <is>
          <t>29.07.2025</t>
        </is>
      </c>
      <c r="C4" s="41" t="inlineStr">
        <is>
          <t>31.07.2025</t>
        </is>
      </c>
      <c r="D4" s="24" t="inlineStr">
        <is>
          <t>Pintolopes</t>
        </is>
      </c>
      <c r="E4" s="24" t="inlineStr">
        <is>
          <t>Josefilipe</t>
        </is>
      </c>
      <c r="F4" s="24" t="n"/>
      <c r="G4" s="41" t="inlineStr">
        <is>
          <t>02.09.1983</t>
        </is>
      </c>
      <c r="H4" s="24" t="n"/>
      <c r="I4" s="24" t="n"/>
      <c r="J4" s="24" t="inlineStr">
        <is>
          <t>PRT</t>
        </is>
      </c>
      <c r="K4" s="24" t="inlineStr">
        <is>
          <t>CZ, Svedska 1010 15, 15000, Prague</t>
        </is>
      </c>
      <c r="L4" s="24" t="inlineStr">
        <is>
          <t>CB489668</t>
        </is>
      </c>
      <c r="M4" s="24" t="inlineStr"/>
      <c r="N4" s="24" t="n">
        <v>10</v>
      </c>
      <c r="O4" s="24" t="n"/>
      <c r="P4" s="24" t="n"/>
    </row>
    <row r="5">
      <c r="B5" s="41" t="inlineStr">
        <is>
          <t>29.07.2025</t>
        </is>
      </c>
      <c r="C5" s="41" t="inlineStr">
        <is>
          <t>30.07.2025</t>
        </is>
      </c>
      <c r="D5" s="24" t="inlineStr">
        <is>
          <t>Bajtos</t>
        </is>
      </c>
      <c r="E5" s="24" t="inlineStr">
        <is>
          <t>Rastislav</t>
        </is>
      </c>
      <c r="F5" s="24" t="n"/>
      <c r="G5" s="41" t="inlineStr">
        <is>
          <t>30.01.1976</t>
        </is>
      </c>
      <c r="H5" s="24" t="n"/>
      <c r="I5" s="24" t="n"/>
      <c r="J5" s="24" t="inlineStr">
        <is>
          <t>SVK</t>
        </is>
      </c>
      <c r="K5" s="24" t="inlineStr">
        <is>
          <t>SK, Senec</t>
        </is>
      </c>
      <c r="L5" s="24" t="inlineStr">
        <is>
          <t>HE033265</t>
        </is>
      </c>
      <c r="M5" s="24" t="inlineStr"/>
      <c r="N5" s="24" t="n">
        <v>10</v>
      </c>
      <c r="O5" s="24" t="n"/>
      <c r="P5" s="24" t="n"/>
    </row>
    <row r="6">
      <c r="B6" s="41" t="inlineStr">
        <is>
          <t>29.07.2025</t>
        </is>
      </c>
      <c r="C6" s="41" t="inlineStr">
        <is>
          <t>31.07.2025</t>
        </is>
      </c>
      <c r="D6" s="24" t="inlineStr">
        <is>
          <t>Keprtova</t>
        </is>
      </c>
      <c r="E6" s="24" t="inlineStr">
        <is>
          <t>Andrea</t>
        </is>
      </c>
      <c r="F6" s="24" t="n"/>
      <c r="G6" s="41" t="inlineStr">
        <is>
          <t>25.04.1994</t>
        </is>
      </c>
      <c r="H6" s="24" t="n"/>
      <c r="I6" s="24" t="n"/>
      <c r="J6" s="24" t="inlineStr">
        <is>
          <t>SVK</t>
        </is>
      </c>
      <c r="K6" s="24" t="inlineStr">
        <is>
          <t>SK, Bratislava</t>
        </is>
      </c>
      <c r="L6" s="24" t="inlineStr">
        <is>
          <t>MN935572</t>
        </is>
      </c>
      <c r="M6" s="24" t="inlineStr"/>
      <c r="N6" s="24" t="n">
        <v>10</v>
      </c>
      <c r="O6" s="24" t="n"/>
      <c r="P6" s="24" t="n"/>
    </row>
    <row r="7">
      <c r="B7" s="41" t="inlineStr">
        <is>
          <t>29.07.2025</t>
        </is>
      </c>
      <c r="C7" s="41" t="inlineStr">
        <is>
          <t>31.07.2025</t>
        </is>
      </c>
      <c r="D7" s="24" t="inlineStr">
        <is>
          <t>Majercikova</t>
        </is>
      </c>
      <c r="E7" s="24" t="inlineStr">
        <is>
          <t>Monika</t>
        </is>
      </c>
      <c r="F7" s="24" t="n"/>
      <c r="G7" s="41" t="inlineStr">
        <is>
          <t>05.10.1983</t>
        </is>
      </c>
      <c r="H7" s="24" t="n"/>
      <c r="I7" s="24" t="n"/>
      <c r="J7" s="24" t="inlineStr">
        <is>
          <t>SVK</t>
        </is>
      </c>
      <c r="K7" s="24" t="inlineStr">
        <is>
          <t>CZ, Asiana  Spol. S R.O., Brno</t>
        </is>
      </c>
      <c r="L7" s="24" t="inlineStr">
        <is>
          <t>HV032713</t>
        </is>
      </c>
      <c r="M7" s="24" t="inlineStr"/>
      <c r="N7" s="24" t="n">
        <v>10</v>
      </c>
      <c r="O7" s="24" t="n"/>
      <c r="P7" s="24" t="n"/>
    </row>
    <row r="8">
      <c r="B8" s="41" t="inlineStr">
        <is>
          <t>29.07.2025</t>
        </is>
      </c>
      <c r="C8" s="41" t="inlineStr">
        <is>
          <t>30.07.2025</t>
        </is>
      </c>
      <c r="D8" s="24" t="inlineStr">
        <is>
          <t>Batora</t>
        </is>
      </c>
      <c r="E8" s="24" t="inlineStr">
        <is>
          <t>Andrej</t>
        </is>
      </c>
      <c r="F8" s="24" t="n"/>
      <c r="G8" s="41" t="inlineStr">
        <is>
          <t>04.08.1971</t>
        </is>
      </c>
      <c r="H8" s="24" t="n"/>
      <c r="I8" s="24" t="n"/>
      <c r="J8" s="24" t="inlineStr">
        <is>
          <t>SVK</t>
        </is>
      </c>
      <c r="K8" s="24" t="inlineStr">
        <is>
          <t>SK, Pri Jazere 19, 90026, Slovensky-Grob</t>
        </is>
      </c>
      <c r="L8" s="24" t="inlineStr">
        <is>
          <t>HM457872</t>
        </is>
      </c>
      <c r="M8" s="24" t="inlineStr"/>
      <c r="N8" s="24" t="n">
        <v>10</v>
      </c>
      <c r="O8" s="24" t="n"/>
      <c r="P8" s="24" t="n"/>
    </row>
    <row r="9">
      <c r="B9" s="41" t="inlineStr">
        <is>
          <t>29.07.2025</t>
        </is>
      </c>
      <c r="C9" s="41" t="inlineStr">
        <is>
          <t>30.07.2025</t>
        </is>
      </c>
      <c r="D9" s="24" t="inlineStr">
        <is>
          <t>Ikenoue</t>
        </is>
      </c>
      <c r="E9" s="24" t="inlineStr">
        <is>
          <t>Kenichi</t>
        </is>
      </c>
      <c r="F9" s="24" t="n"/>
      <c r="G9" s="41" t="inlineStr">
        <is>
          <t>01.08.1979</t>
        </is>
      </c>
      <c r="H9" s="24" t="n"/>
      <c r="I9" s="24" t="n"/>
      <c r="J9" s="24" t="inlineStr">
        <is>
          <t>JPN</t>
        </is>
      </c>
      <c r="K9" s="24" t="inlineStr">
        <is>
          <t>DE, Panasonic Marketing Europe GmbH, 65203, Wiesbaden</t>
        </is>
      </c>
      <c r="L9" s="24" t="inlineStr">
        <is>
          <t>YZ7mwnpcp</t>
        </is>
      </c>
      <c r="M9" s="24" t="inlineStr"/>
      <c r="N9" s="24" t="n">
        <v>10</v>
      </c>
      <c r="O9" s="24" t="n"/>
      <c r="P9" s="24" t="n"/>
    </row>
    <row r="10">
      <c r="B10" s="41" t="inlineStr">
        <is>
          <t>29.07.2025</t>
        </is>
      </c>
      <c r="C10" s="41" t="inlineStr">
        <is>
          <t>31.07.2025</t>
        </is>
      </c>
      <c r="D10" s="24" t="inlineStr">
        <is>
          <t>Ramsay</t>
        </is>
      </c>
      <c r="E10" s="24" t="inlineStr">
        <is>
          <t>Paul</t>
        </is>
      </c>
      <c r="F10" s="24" t="n"/>
      <c r="G10" s="41" t="inlineStr">
        <is>
          <t>29.01.1976</t>
        </is>
      </c>
      <c r="H10" s="24" t="n"/>
      <c r="I10" s="24" t="n"/>
      <c r="J10" s="24" t="inlineStr">
        <is>
          <t>GBR</t>
        </is>
      </c>
      <c r="K10" s="24" t="inlineStr">
        <is>
          <t>GB, Grove Cottage, CF71, Cowbridge Wick South</t>
        </is>
      </c>
      <c r="L10" s="24" t="inlineStr">
        <is>
          <t>140079252</t>
        </is>
      </c>
      <c r="M10" s="24" t="inlineStr"/>
      <c r="N10" s="24" t="n">
        <v>10</v>
      </c>
      <c r="O10" s="24" t="n"/>
      <c r="P10" s="24" t="n"/>
    </row>
    <row r="11">
      <c r="B11" s="41" t="inlineStr">
        <is>
          <t>29.07.2025</t>
        </is>
      </c>
      <c r="C11" s="41" t="inlineStr">
        <is>
          <t>01.08.2025</t>
        </is>
      </c>
      <c r="D11" s="24" t="inlineStr">
        <is>
          <t>Lord</t>
        </is>
      </c>
      <c r="E11" s="24" t="inlineStr">
        <is>
          <t>Oliver</t>
        </is>
      </c>
      <c r="F11" s="24" t="n"/>
      <c r="G11" s="41" t="inlineStr">
        <is>
          <t>18.02.1992</t>
        </is>
      </c>
      <c r="H11" s="24" t="n"/>
      <c r="I11" s="24" t="n"/>
      <c r="J11" s="24" t="inlineStr">
        <is>
          <t>GBR</t>
        </is>
      </c>
      <c r="K11" s="24" t="inlineStr">
        <is>
          <t>GB, Leonardo Uk Sigma House, SS14 3EL, Basildon</t>
        </is>
      </c>
      <c r="L11" s="24" t="inlineStr">
        <is>
          <t>127146049</t>
        </is>
      </c>
      <c r="M11" s="24" t="inlineStr"/>
      <c r="N11" s="24" t="n">
        <v>10</v>
      </c>
      <c r="O11" s="24" t="n"/>
      <c r="P11" s="24" t="n"/>
    </row>
    <row r="12">
      <c r="B12" s="41" t="inlineStr">
        <is>
          <t>29.07.2025</t>
        </is>
      </c>
      <c r="C12" s="41" t="inlineStr">
        <is>
          <t>01.08.2025</t>
        </is>
      </c>
      <c r="D12" s="24" t="inlineStr">
        <is>
          <t>Vendelbo</t>
        </is>
      </c>
      <c r="E12" s="24" t="inlineStr">
        <is>
          <t>Kurt</t>
        </is>
      </c>
      <c r="F12" s="24" t="n"/>
      <c r="G12" s="41" t="inlineStr">
        <is>
          <t>10.03.1962</t>
        </is>
      </c>
      <c r="H12" s="24" t="n"/>
      <c r="I12" s="24" t="n"/>
      <c r="J12" s="24" t="inlineStr">
        <is>
          <t>DNK</t>
        </is>
      </c>
      <c r="K12" s="24" t="inlineStr">
        <is>
          <t>DK, Gammel Strandvangsvej 1, 8250, Egaa Dk</t>
        </is>
      </c>
      <c r="L12" s="24" t="inlineStr">
        <is>
          <t>213424744</t>
        </is>
      </c>
      <c r="M12" s="24" t="inlineStr"/>
      <c r="N12" s="24" t="n">
        <v>10</v>
      </c>
      <c r="O12" s="24" t="n"/>
      <c r="P12" s="24" t="n"/>
    </row>
    <row r="13">
      <c r="B13" s="41" t="inlineStr">
        <is>
          <t>29.07.2025</t>
        </is>
      </c>
      <c r="C13" s="41" t="inlineStr">
        <is>
          <t>01.08.2025</t>
        </is>
      </c>
      <c r="D13" s="24" t="inlineStr">
        <is>
          <t>Song</t>
        </is>
      </c>
      <c r="E13" s="24" t="inlineStr">
        <is>
          <t>Xuanbi</t>
        </is>
      </c>
      <c r="F13" s="24" t="n"/>
      <c r="G13" s="41" t="inlineStr">
        <is>
          <t>02.09.1982</t>
        </is>
      </c>
      <c r="H13" s="24" t="n"/>
      <c r="I13" s="24" t="n"/>
      <c r="J13" s="24" t="inlineStr">
        <is>
          <t>CHN</t>
        </is>
      </c>
      <c r="K13" s="24" t="inlineStr">
        <is>
          <t>CN, 4 Floor  Xiejin Building, 200000, Shanghai</t>
        </is>
      </c>
      <c r="L13" s="24" t="inlineStr">
        <is>
          <t>EK9317010</t>
        </is>
      </c>
      <c r="M13" s="24" t="inlineStr">
        <is>
          <t>603421330</t>
        </is>
      </c>
      <c r="N13" s="24" t="n">
        <v>10</v>
      </c>
      <c r="O13" s="24" t="n"/>
      <c r="P13" s="24" t="n"/>
    </row>
    <row r="14">
      <c r="B14" s="41" t="inlineStr">
        <is>
          <t>29.07.2025</t>
        </is>
      </c>
      <c r="C14" s="41" t="inlineStr">
        <is>
          <t>30.07.2025</t>
        </is>
      </c>
      <c r="D14" s="24" t="inlineStr">
        <is>
          <t>Drenka</t>
        </is>
      </c>
      <c r="E14" s="24" t="inlineStr">
        <is>
          <t>Peter</t>
        </is>
      </c>
      <c r="F14" s="24" t="n"/>
      <c r="G14" s="41" t="inlineStr">
        <is>
          <t>05.10.1982</t>
        </is>
      </c>
      <c r="H14" s="24" t="n"/>
      <c r="I14" s="24" t="n"/>
      <c r="J14" s="24" t="inlineStr">
        <is>
          <t>SVK</t>
        </is>
      </c>
      <c r="K14" s="24" t="inlineStr">
        <is>
          <t>SK, Bratislava</t>
        </is>
      </c>
      <c r="L14" s="24" t="inlineStr">
        <is>
          <t>HD422026</t>
        </is>
      </c>
      <c r="M14" s="24" t="inlineStr"/>
      <c r="N14" s="24" t="n">
        <v>10</v>
      </c>
      <c r="O14" s="24" t="n"/>
      <c r="P14" s="24" t="n"/>
    </row>
    <row r="15">
      <c r="B15" s="41" t="inlineStr">
        <is>
          <t>29.07.2025</t>
        </is>
      </c>
      <c r="C15" s="41" t="inlineStr">
        <is>
          <t>31.07.2025</t>
        </is>
      </c>
      <c r="D15" s="24" t="inlineStr">
        <is>
          <t>Glejtekova</t>
        </is>
      </c>
      <c r="E15" s="24" t="inlineStr">
        <is>
          <t>Zuzana</t>
        </is>
      </c>
      <c r="F15" s="24" t="n"/>
      <c r="G15" s="41" t="inlineStr">
        <is>
          <t>09.08.1994</t>
        </is>
      </c>
      <c r="H15" s="24" t="n"/>
      <c r="I15" s="24" t="n"/>
      <c r="J15" s="24" t="inlineStr">
        <is>
          <t>SVK</t>
        </is>
      </c>
      <c r="K15" s="24" t="inlineStr">
        <is>
          <t>SK, Bratislava</t>
        </is>
      </c>
      <c r="L15" s="24" t="inlineStr">
        <is>
          <t>JA247484</t>
        </is>
      </c>
      <c r="M15" s="24" t="inlineStr"/>
      <c r="N15" s="24" t="n">
        <v>10</v>
      </c>
      <c r="O15" s="24" t="n"/>
      <c r="P15" s="24" t="n"/>
    </row>
    <row r="16">
      <c r="B16" s="41" t="inlineStr">
        <is>
          <t>29.07.2025</t>
        </is>
      </c>
      <c r="C16" s="41" t="inlineStr">
        <is>
          <t>29.07.2025</t>
        </is>
      </c>
      <c r="D16" s="24" t="inlineStr">
        <is>
          <t>Balaguer Arbona</t>
        </is>
      </c>
      <c r="E16" s="24" t="inlineStr">
        <is>
          <t>Juan Carlos</t>
        </is>
      </c>
      <c r="F16" s="24" t="n"/>
      <c r="G16" s="41" t="inlineStr">
        <is>
          <t>07.12.1959</t>
        </is>
      </c>
      <c r="H16" s="24" t="n"/>
      <c r="I16" s="24" t="n"/>
      <c r="J16" s="24" t="inlineStr">
        <is>
          <t>ESP</t>
        </is>
      </c>
      <c r="K16" s="24" t="inlineStr">
        <is>
          <t>ES, Barcelona</t>
        </is>
      </c>
      <c r="L16" s="24" t="inlineStr">
        <is>
          <t>CIX193686</t>
        </is>
      </c>
      <c r="M16" s="24" t="inlineStr"/>
      <c r="N16" s="24" t="n">
        <v>10</v>
      </c>
      <c r="O16" s="24" t="n"/>
      <c r="P16" s="24" t="n"/>
    </row>
    <row r="17">
      <c r="B17" s="41" t="inlineStr">
        <is>
          <t>29.07.2025</t>
        </is>
      </c>
      <c r="C17" s="41" t="inlineStr">
        <is>
          <t>02.08.2025</t>
        </is>
      </c>
      <c r="D17" s="24" t="inlineStr">
        <is>
          <t>Du</t>
        </is>
      </c>
      <c r="E17" s="24" t="inlineStr">
        <is>
          <t>Haiyang</t>
        </is>
      </c>
      <c r="F17" s="24" t="n"/>
      <c r="G17" s="41" t="inlineStr">
        <is>
          <t>10.04.1997</t>
        </is>
      </c>
      <c r="H17" s="24" t="n"/>
      <c r="I17" s="24" t="n"/>
      <c r="J17" s="24" t="inlineStr">
        <is>
          <t>CHN</t>
        </is>
      </c>
      <c r="K17" s="24" t="inlineStr">
        <is>
          <t>DE, Am Seestern5 40547, 40547, Dusseldorf</t>
        </is>
      </c>
      <c r="L17" s="24" t="inlineStr">
        <is>
          <t>en0688786</t>
        </is>
      </c>
      <c r="M17" s="24" t="inlineStr">
        <is>
          <t>070438948</t>
        </is>
      </c>
      <c r="N17" s="24" t="n">
        <v>10</v>
      </c>
      <c r="O17" s="24" t="n"/>
      <c r="P17" s="24" t="n"/>
    </row>
    <row r="18">
      <c r="B18" s="41" t="inlineStr">
        <is>
          <t>29.07.2025</t>
        </is>
      </c>
      <c r="C18" s="41" t="inlineStr">
        <is>
          <t>01.08.2025</t>
        </is>
      </c>
      <c r="D18" s="24" t="inlineStr">
        <is>
          <t>Lord</t>
        </is>
      </c>
      <c r="E18" s="24" t="inlineStr">
        <is>
          <t>Helen Elizabeth</t>
        </is>
      </c>
      <c r="F18" s="24" t="n"/>
      <c r="G18" s="41" t="inlineStr">
        <is>
          <t>15.03.1967</t>
        </is>
      </c>
      <c r="H18" s="24" t="n"/>
      <c r="I18" s="24" t="n"/>
      <c r="J18" s="24" t="inlineStr">
        <is>
          <t>GBR</t>
        </is>
      </c>
      <c r="K18" s="24" t="inlineStr">
        <is>
          <t>GB, Manchester</t>
        </is>
      </c>
      <c r="L18" s="24" t="inlineStr">
        <is>
          <t>539165921</t>
        </is>
      </c>
      <c r="M18" s="24" t="inlineStr"/>
      <c r="N18" s="24" t="n">
        <v>10</v>
      </c>
      <c r="O18" s="24" t="n"/>
      <c r="P18" s="24" t="n"/>
    </row>
    <row r="19">
      <c r="B19" s="41" t="inlineStr">
        <is>
          <t>29.07.2025</t>
        </is>
      </c>
      <c r="C19" s="41" t="inlineStr">
        <is>
          <t>01.08.2025</t>
        </is>
      </c>
      <c r="D19" s="24" t="inlineStr">
        <is>
          <t>Lord</t>
        </is>
      </c>
      <c r="E19" s="24" t="inlineStr">
        <is>
          <t>Mark Edward</t>
        </is>
      </c>
      <c r="F19" s="24" t="n"/>
      <c r="G19" s="41" t="inlineStr">
        <is>
          <t>30.07.1965</t>
        </is>
      </c>
      <c r="H19" s="24" t="n"/>
      <c r="I19" s="24" t="n"/>
      <c r="J19" s="24" t="inlineStr">
        <is>
          <t>GBR</t>
        </is>
      </c>
      <c r="K19" s="24" t="inlineStr">
        <is>
          <t>GB, London</t>
        </is>
      </c>
      <c r="L19" s="24" t="inlineStr">
        <is>
          <t>543184075</t>
        </is>
      </c>
      <c r="M19" s="24" t="inlineStr"/>
      <c r="N19" s="24" t="n">
        <v>10</v>
      </c>
      <c r="O19" s="24" t="n"/>
      <c r="P19" s="24" t="n"/>
    </row>
    <row r="20">
      <c r="B20" s="41" t="inlineStr">
        <is>
          <t>29.07.2025</t>
        </is>
      </c>
      <c r="C20" s="41" t="inlineStr">
        <is>
          <t>30.07.2025</t>
        </is>
      </c>
      <c r="D20" s="24" t="inlineStr">
        <is>
          <t>Csoka</t>
        </is>
      </c>
      <c r="E20" s="24" t="inlineStr">
        <is>
          <t>Tomas</t>
        </is>
      </c>
      <c r="F20" s="24" t="n"/>
      <c r="G20" s="41" t="inlineStr">
        <is>
          <t>01.11.1977</t>
        </is>
      </c>
      <c r="H20" s="24" t="n"/>
      <c r="I20" s="24" t="n"/>
      <c r="J20" s="24" t="inlineStr">
        <is>
          <t>SVK</t>
        </is>
      </c>
      <c r="K20" s="24" t="inlineStr">
        <is>
          <t>SK, Slovensky Grob</t>
        </is>
      </c>
      <c r="L20" s="24" t="inlineStr">
        <is>
          <t>NP090117</t>
        </is>
      </c>
      <c r="M20" s="24" t="inlineStr"/>
      <c r="N20" s="24" t="n">
        <v>10</v>
      </c>
      <c r="O20" s="24" t="n"/>
      <c r="P20" s="24" t="n"/>
    </row>
    <row r="21">
      <c r="B21" s="41" t="inlineStr">
        <is>
          <t>29.07.2025</t>
        </is>
      </c>
      <c r="C21" s="41" t="inlineStr">
        <is>
          <t>30.07.2025</t>
        </is>
      </c>
      <c r="D21" s="24" t="inlineStr">
        <is>
          <t>Lefebure</t>
        </is>
      </c>
      <c r="E21" s="24" t="inlineStr">
        <is>
          <t>Martin Marc</t>
        </is>
      </c>
      <c r="F21" s="24" t="n"/>
      <c r="G21" s="41" t="inlineStr">
        <is>
          <t>10.04.1986</t>
        </is>
      </c>
      <c r="H21" s="24" t="n"/>
      <c r="I21" s="24" t="n"/>
      <c r="J21" s="24" t="inlineStr">
        <is>
          <t>FRA</t>
        </is>
      </c>
      <c r="K21" s="24" t="inlineStr">
        <is>
          <t>FR, Paris</t>
        </is>
      </c>
      <c r="L21" s="24" t="inlineStr">
        <is>
          <t>20AH84568</t>
        </is>
      </c>
      <c r="M21" s="24" t="inlineStr"/>
      <c r="N21" s="24" t="n">
        <v>10</v>
      </c>
      <c r="O21" s="24" t="n"/>
      <c r="P21" s="24" t="n"/>
    </row>
    <row r="22">
      <c r="B22" s="41" t="inlineStr">
        <is>
          <t>29.07.2025</t>
        </is>
      </c>
      <c r="C22" s="41" t="inlineStr">
        <is>
          <t>31.07.2025</t>
        </is>
      </c>
      <c r="D22" s="24" t="inlineStr">
        <is>
          <t>Maxey Jr</t>
        </is>
      </c>
      <c r="E22" s="24" t="inlineStr">
        <is>
          <t>Vance Monroe</t>
        </is>
      </c>
      <c r="F22" s="24" t="n"/>
      <c r="G22" s="41" t="inlineStr">
        <is>
          <t>29.08.1988</t>
        </is>
      </c>
      <c r="H22" s="24" t="n"/>
      <c r="I22" s="24" t="n"/>
      <c r="J22" s="24" t="inlineStr">
        <is>
          <t>USA</t>
        </is>
      </c>
      <c r="K22" s="24" t="inlineStr">
        <is>
          <t>US, Austin</t>
        </is>
      </c>
      <c r="L22" s="24" t="inlineStr">
        <is>
          <t>A53700615</t>
        </is>
      </c>
      <c r="M22" s="24" t="inlineStr"/>
      <c r="N22" s="24" t="n">
        <v>10</v>
      </c>
      <c r="O22" s="24" t="n"/>
      <c r="P22" s="24" t="n"/>
    </row>
    <row r="23">
      <c r="B23" s="41" t="inlineStr">
        <is>
          <t>29.07.2025</t>
        </is>
      </c>
      <c r="C23" s="41" t="inlineStr">
        <is>
          <t>01.08.2025</t>
        </is>
      </c>
      <c r="D23" s="24" t="inlineStr">
        <is>
          <t>Eiskjaer</t>
        </is>
      </c>
      <c r="E23" s="24" t="inlineStr">
        <is>
          <t>Marianne Tolstrup</t>
        </is>
      </c>
      <c r="F23" s="24" t="n"/>
      <c r="G23" s="41" t="inlineStr">
        <is>
          <t>06.05.1959</t>
        </is>
      </c>
      <c r="H23" s="24" t="n"/>
      <c r="I23" s="24" t="n"/>
      <c r="J23" s="24" t="inlineStr">
        <is>
          <t>DNK</t>
        </is>
      </c>
      <c r="K23" s="24" t="inlineStr">
        <is>
          <t>DK, Odense</t>
        </is>
      </c>
      <c r="L23" s="24" t="inlineStr">
        <is>
          <t>210055142</t>
        </is>
      </c>
      <c r="M23" s="24" t="inlineStr"/>
      <c r="N23" s="24" t="n">
        <v>10</v>
      </c>
      <c r="O23" s="24" t="n"/>
      <c r="P23" s="24" t="n"/>
    </row>
    <row r="24">
      <c r="B24" s="41" t="inlineStr">
        <is>
          <t>29.07.2025</t>
        </is>
      </c>
      <c r="C24" s="41" t="inlineStr">
        <is>
          <t>30.07.2025</t>
        </is>
      </c>
      <c r="D24" s="24" t="inlineStr">
        <is>
          <t>Babjak</t>
        </is>
      </c>
      <c r="E24" s="24" t="inlineStr">
        <is>
          <t>Juraj</t>
        </is>
      </c>
      <c r="F24" s="24" t="n"/>
      <c r="G24" s="41" t="inlineStr">
        <is>
          <t>04.06.1986</t>
        </is>
      </c>
      <c r="H24" s="24" t="n"/>
      <c r="I24" s="24" t="n"/>
      <c r="J24" s="24" t="inlineStr">
        <is>
          <t>SVK</t>
        </is>
      </c>
      <c r="K24" s="24" t="inlineStr">
        <is>
          <t>SK, Slovensky Grob</t>
        </is>
      </c>
      <c r="L24" s="24" t="inlineStr">
        <is>
          <t>NK278169</t>
        </is>
      </c>
      <c r="M24" s="24" t="inlineStr"/>
      <c r="N24" s="24" t="n">
        <v>10</v>
      </c>
      <c r="O24" s="24" t="n"/>
      <c r="P24" s="24" t="n"/>
    </row>
    <row r="25">
      <c r="B25" s="41" t="inlineStr">
        <is>
          <t>29.07.2025</t>
        </is>
      </c>
      <c r="C25" s="41" t="inlineStr">
        <is>
          <t>30.07.2025</t>
        </is>
      </c>
      <c r="D25" s="24" t="inlineStr">
        <is>
          <t>Duba</t>
        </is>
      </c>
      <c r="E25" s="24" t="inlineStr">
        <is>
          <t>Karol</t>
        </is>
      </c>
      <c r="F25" s="24" t="n"/>
      <c r="G25" s="41" t="inlineStr">
        <is>
          <t>08.10.1985</t>
        </is>
      </c>
      <c r="H25" s="24" t="n"/>
      <c r="I25" s="24" t="n"/>
      <c r="J25" s="24" t="inlineStr">
        <is>
          <t>SVK</t>
        </is>
      </c>
      <c r="K25" s="24" t="inlineStr">
        <is>
          <t>SK, Slovensky Grob</t>
        </is>
      </c>
      <c r="L25" s="24" t="inlineStr">
        <is>
          <t>HG866966</t>
        </is>
      </c>
      <c r="M25" s="24" t="inlineStr"/>
      <c r="N25" s="24" t="n">
        <v>10</v>
      </c>
      <c r="O25" s="24" t="n"/>
      <c r="P25" s="24" t="n"/>
    </row>
    <row r="26">
      <c r="B26" s="41" t="inlineStr">
        <is>
          <t>29.07.2025</t>
        </is>
      </c>
      <c r="C26" s="41" t="inlineStr">
        <is>
          <t>31.07.2025</t>
        </is>
      </c>
      <c r="D26" s="24" t="inlineStr">
        <is>
          <t>Ramsay</t>
        </is>
      </c>
      <c r="E26" s="24" t="inlineStr">
        <is>
          <t>Lily Rose</t>
        </is>
      </c>
      <c r="F26" s="24" t="n"/>
      <c r="G26" s="41" t="inlineStr">
        <is>
          <t>24.05.2010</t>
        </is>
      </c>
      <c r="H26" s="24" t="n"/>
      <c r="I26" s="24" t="n"/>
      <c r="J26" s="24" t="inlineStr">
        <is>
          <t>GBR</t>
        </is>
      </c>
      <c r="K26" s="24" t="inlineStr">
        <is>
          <t>GB, Liverpool</t>
        </is>
      </c>
      <c r="L26" s="24" t="inlineStr">
        <is>
          <t>129741493</t>
        </is>
      </c>
      <c r="M26" s="24" t="inlineStr"/>
      <c r="N26" s="24" t="n">
        <v>10</v>
      </c>
      <c r="O26" s="24" t="n"/>
      <c r="P26" s="24" t="n"/>
    </row>
    <row r="27">
      <c r="B27" s="41" t="inlineStr">
        <is>
          <t>29.07.2025</t>
        </is>
      </c>
      <c r="C27" s="41" t="inlineStr">
        <is>
          <t>01.08.2025</t>
        </is>
      </c>
      <c r="D27" s="24" t="inlineStr">
        <is>
          <t>Casey</t>
        </is>
      </c>
      <c r="E27" s="24" t="inlineStr">
        <is>
          <t>Madeleine Maria</t>
        </is>
      </c>
      <c r="F27" s="24" t="n"/>
      <c r="G27" s="41" t="inlineStr">
        <is>
          <t>14.01.1999</t>
        </is>
      </c>
      <c r="H27" s="24" t="n"/>
      <c r="I27" s="24" t="n"/>
      <c r="J27" s="24" t="inlineStr">
        <is>
          <t>FIN</t>
        </is>
      </c>
      <c r="K27" s="24" t="inlineStr">
        <is>
          <t>FI, Tumut</t>
        </is>
      </c>
      <c r="L27" s="24" t="inlineStr">
        <is>
          <t>CP1858520</t>
        </is>
      </c>
      <c r="M27" s="24" t="inlineStr"/>
      <c r="N27" s="24" t="n">
        <v>10</v>
      </c>
      <c r="O27" s="24" t="n"/>
      <c r="P27" s="24" t="n"/>
    </row>
    <row r="28">
      <c r="B28" s="41" t="inlineStr">
        <is>
          <t>29.07.2025</t>
        </is>
      </c>
      <c r="C28" s="41" t="inlineStr">
        <is>
          <t>01.08.2025</t>
        </is>
      </c>
      <c r="D28" s="24" t="inlineStr">
        <is>
          <t>Herford</t>
        </is>
      </c>
      <c r="E28" s="24" t="inlineStr">
        <is>
          <t>Paige Pamela</t>
        </is>
      </c>
      <c r="F28" s="24" t="n"/>
      <c r="G28" s="41" t="inlineStr">
        <is>
          <t>28.07.1999</t>
        </is>
      </c>
      <c r="H28" s="24" t="n"/>
      <c r="I28" s="24" t="n"/>
      <c r="J28" s="24" t="inlineStr">
        <is>
          <t>AUS</t>
        </is>
      </c>
      <c r="K28" s="24" t="inlineStr">
        <is>
          <t>AU, Kogarah</t>
        </is>
      </c>
      <c r="L28" s="24" t="inlineStr">
        <is>
          <t>PA4266894</t>
        </is>
      </c>
      <c r="M28" s="24" t="inlineStr"/>
      <c r="N28" s="24" t="n">
        <v>10</v>
      </c>
      <c r="O28" s="24" t="n"/>
      <c r="P28" s="24" t="n"/>
    </row>
    <row r="29">
      <c r="B29" s="41" t="inlineStr">
        <is>
          <t>29.07.2025</t>
        </is>
      </c>
      <c r="C29" s="41" t="inlineStr">
        <is>
          <t>02.08.2025</t>
        </is>
      </c>
      <c r="D29" s="24" t="inlineStr">
        <is>
          <t>Kielczyk</t>
        </is>
      </c>
      <c r="E29" s="24" t="inlineStr">
        <is>
          <t>Mateusz Antoni</t>
        </is>
      </c>
      <c r="F29" s="24" t="n"/>
      <c r="G29" s="41" t="inlineStr">
        <is>
          <t>27.08.1986</t>
        </is>
      </c>
      <c r="H29" s="24" t="n"/>
      <c r="I29" s="24" t="n"/>
      <c r="J29" s="24" t="inlineStr">
        <is>
          <t>POL</t>
        </is>
      </c>
      <c r="K29" s="24" t="inlineStr">
        <is>
          <t>PL, Katowice</t>
        </is>
      </c>
      <c r="L29" s="24" t="inlineStr">
        <is>
          <t>DFL405598</t>
        </is>
      </c>
      <c r="M29" s="24" t="inlineStr"/>
      <c r="N29" s="24" t="n">
        <v>10</v>
      </c>
      <c r="O29" s="24" t="n"/>
      <c r="P29" s="24" t="n"/>
    </row>
    <row r="30">
      <c r="B30" s="41" t="inlineStr">
        <is>
          <t>29.07.2025</t>
        </is>
      </c>
      <c r="C30" s="41" t="inlineStr">
        <is>
          <t>01.08.2025</t>
        </is>
      </c>
      <c r="D30" s="24" t="inlineStr">
        <is>
          <t>Pehlivan</t>
        </is>
      </c>
      <c r="E30" s="24" t="inlineStr">
        <is>
          <t>Ahmet</t>
        </is>
      </c>
      <c r="F30" s="24" t="n"/>
      <c r="G30" s="41" t="inlineStr">
        <is>
          <t>11.04.1973</t>
        </is>
      </c>
      <c r="H30" s="24" t="n"/>
      <c r="I30" s="24" t="n"/>
      <c r="J30" s="24" t="inlineStr">
        <is>
          <t>TUR</t>
        </is>
      </c>
      <c r="K30" s="24" t="inlineStr">
        <is>
          <t>TR, Ankara</t>
        </is>
      </c>
      <c r="L30" s="24" t="inlineStr">
        <is>
          <t>Z35136794</t>
        </is>
      </c>
      <c r="M30" s="24" t="inlineStr">
        <is>
          <t>maji sedy pas</t>
        </is>
      </c>
      <c r="N30" s="24" t="n">
        <v>10</v>
      </c>
      <c r="O30" s="24" t="n"/>
      <c r="P30" s="24" t="n"/>
    </row>
    <row r="31">
      <c r="B31" s="41" t="inlineStr">
        <is>
          <t>29.07.2025</t>
        </is>
      </c>
      <c r="C31" s="41" t="inlineStr">
        <is>
          <t>01.08.2025</t>
        </is>
      </c>
      <c r="D31" s="24" t="inlineStr">
        <is>
          <t>Lord</t>
        </is>
      </c>
      <c r="E31" s="24" t="inlineStr">
        <is>
          <t>Natasha Louise</t>
        </is>
      </c>
      <c r="F31" s="24" t="n"/>
      <c r="G31" s="41" t="inlineStr">
        <is>
          <t>27.08.1995</t>
        </is>
      </c>
      <c r="H31" s="24" t="n"/>
      <c r="I31" s="24" t="n"/>
      <c r="J31" s="24" t="inlineStr">
        <is>
          <t>GBR</t>
        </is>
      </c>
      <c r="K31" s="24" t="inlineStr">
        <is>
          <t>GB, Liverpool</t>
        </is>
      </c>
      <c r="L31" s="24" t="inlineStr">
        <is>
          <t>139386828</t>
        </is>
      </c>
      <c r="M31" s="24" t="inlineStr"/>
      <c r="N31" s="24" t="n">
        <v>10</v>
      </c>
      <c r="O31" s="24" t="n"/>
      <c r="P31" s="24" t="n"/>
    </row>
    <row r="32">
      <c r="B32" s="41" t="inlineStr">
        <is>
          <t>29.07.2025</t>
        </is>
      </c>
      <c r="C32" s="41" t="inlineStr">
        <is>
          <t>01.08.2025</t>
        </is>
      </c>
      <c r="D32" s="24" t="inlineStr">
        <is>
          <t>Janssen</t>
        </is>
      </c>
      <c r="E32" s="24" t="inlineStr">
        <is>
          <t>Holger Ingo</t>
        </is>
      </c>
      <c r="F32" s="24" t="n"/>
      <c r="G32" s="41" t="inlineStr">
        <is>
          <t>24.07.1961</t>
        </is>
      </c>
      <c r="H32" s="24" t="n"/>
      <c r="I32" s="24" t="n"/>
      <c r="J32" s="24" t="inlineStr">
        <is>
          <t>DEU</t>
        </is>
      </c>
      <c r="K32" s="24" t="inlineStr">
        <is>
          <t>DE, Frankfurt</t>
        </is>
      </c>
      <c r="L32" s="24" t="inlineStr">
        <is>
          <t>L2F6HKYJ2</t>
        </is>
      </c>
      <c r="M32" s="24" t="inlineStr"/>
      <c r="N32" s="24" t="n">
        <v>10</v>
      </c>
      <c r="O32" s="24" t="n"/>
      <c r="P32" s="24" t="n"/>
    </row>
    <row r="33">
      <c r="B33" s="41" t="inlineStr">
        <is>
          <t>29.07.2025</t>
        </is>
      </c>
      <c r="C33" s="41" t="inlineStr">
        <is>
          <t>01.08.2025</t>
        </is>
      </c>
      <c r="D33" s="24" t="inlineStr">
        <is>
          <t>Janssen</t>
        </is>
      </c>
      <c r="E33" s="24" t="inlineStr">
        <is>
          <t>Andrea</t>
        </is>
      </c>
      <c r="F33" s="24" t="n"/>
      <c r="G33" s="41" t="inlineStr">
        <is>
          <t>26.11.1966</t>
        </is>
      </c>
      <c r="H33" s="24" t="n"/>
      <c r="I33" s="24" t="n"/>
      <c r="J33" s="24" t="inlineStr">
        <is>
          <t>DEU</t>
        </is>
      </c>
      <c r="K33" s="24" t="inlineStr">
        <is>
          <t>DE, Berlin</t>
        </is>
      </c>
      <c r="L33" s="24" t="inlineStr">
        <is>
          <t>L2F6J9569</t>
        </is>
      </c>
      <c r="M33" s="24" t="inlineStr"/>
      <c r="N33" s="24" t="n">
        <v>10</v>
      </c>
      <c r="O33" s="24" t="n"/>
      <c r="P33" s="24" t="n"/>
    </row>
    <row r="34">
      <c r="B34" s="41" t="inlineStr">
        <is>
          <t>29.07.2025</t>
        </is>
      </c>
      <c r="C34" s="41" t="inlineStr">
        <is>
          <t>30.07.2025</t>
        </is>
      </c>
      <c r="D34" s="24" t="inlineStr">
        <is>
          <t>Suna</t>
        </is>
      </c>
      <c r="E34" s="24" t="inlineStr">
        <is>
          <t>Masaaki</t>
        </is>
      </c>
      <c r="F34" s="24" t="n"/>
      <c r="G34" s="41" t="inlineStr">
        <is>
          <t>07.02.1973</t>
        </is>
      </c>
      <c r="H34" s="24" t="n"/>
      <c r="I34" s="24" t="n"/>
      <c r="J34" s="24" t="inlineStr">
        <is>
          <t>JPN</t>
        </is>
      </c>
      <c r="K34" s="24" t="inlineStr">
        <is>
          <t>DE, Panasonic Marketing Europe GmbH, Wiesbaden</t>
        </is>
      </c>
      <c r="L34" s="24" t="inlineStr">
        <is>
          <t>YZ7MC4GVL</t>
        </is>
      </c>
      <c r="M34" s="24" t="inlineStr"/>
      <c r="N34" s="24" t="n">
        <v>10</v>
      </c>
      <c r="O34" s="24" t="n"/>
      <c r="P34" s="24" t="n"/>
    </row>
    <row r="35">
      <c r="B35" s="41" t="inlineStr">
        <is>
          <t>29.07.2025</t>
        </is>
      </c>
      <c r="C35" s="41" t="inlineStr">
        <is>
          <t>30.07.2025</t>
        </is>
      </c>
      <c r="D35" s="24" t="inlineStr">
        <is>
          <t>Hoogenboom</t>
        </is>
      </c>
      <c r="E35" s="24" t="inlineStr">
        <is>
          <t>Ronaldus Petrus</t>
        </is>
      </c>
      <c r="F35" s="24" t="n"/>
      <c r="G35" s="41" t="inlineStr">
        <is>
          <t>31.03.1967</t>
        </is>
      </c>
      <c r="H35" s="24" t="n"/>
      <c r="I35" s="24" t="n"/>
      <c r="J35" s="24" t="inlineStr">
        <is>
          <t>NLD</t>
        </is>
      </c>
      <c r="K35" s="24" t="inlineStr">
        <is>
          <t>NL, Amsterdam</t>
        </is>
      </c>
      <c r="L35" s="24" t="inlineStr">
        <is>
          <t>NV7F38BB3</t>
        </is>
      </c>
      <c r="M35" s="24" t="inlineStr"/>
      <c r="N35" s="24" t="n">
        <v>10</v>
      </c>
      <c r="O35" s="24" t="n"/>
      <c r="P35" s="24" t="n"/>
    </row>
    <row r="36">
      <c r="B36" s="41" t="inlineStr">
        <is>
          <t>29.07.2025</t>
        </is>
      </c>
      <c r="C36" s="41" t="inlineStr">
        <is>
          <t>02.08.2025</t>
        </is>
      </c>
      <c r="D36" s="24" t="inlineStr">
        <is>
          <t>Kielczyk</t>
        </is>
      </c>
      <c r="E36" s="24" t="inlineStr">
        <is>
          <t>Ilona</t>
        </is>
      </c>
      <c r="F36" s="24" t="n"/>
      <c r="G36" s="41" t="inlineStr">
        <is>
          <t>23.01.1991</t>
        </is>
      </c>
      <c r="H36" s="24" t="n"/>
      <c r="I36" s="24" t="n"/>
      <c r="J36" s="24" t="inlineStr">
        <is>
          <t>POL</t>
        </is>
      </c>
      <c r="K36" s="24" t="inlineStr">
        <is>
          <t>PL, Postepu 15f, 02-676, Warszawa</t>
        </is>
      </c>
      <c r="L36" s="24" t="inlineStr">
        <is>
          <t>DII251373</t>
        </is>
      </c>
      <c r="M36" s="24" t="inlineStr"/>
      <c r="N36" s="24" t="n">
        <v>10</v>
      </c>
      <c r="O36" s="24" t="n"/>
      <c r="P36" s="24" t="n"/>
    </row>
    <row r="37">
      <c r="B37" s="41" t="inlineStr">
        <is>
          <t>29.07.2025</t>
        </is>
      </c>
      <c r="C37" s="41" t="inlineStr">
        <is>
          <t>30.07.2025</t>
        </is>
      </c>
      <c r="D37" s="24" t="inlineStr">
        <is>
          <t>Lee</t>
        </is>
      </c>
      <c r="E37" s="24" t="inlineStr">
        <is>
          <t>Hyegyong</t>
        </is>
      </c>
      <c r="F37" s="24" t="n"/>
      <c r="G37" s="41" t="inlineStr">
        <is>
          <t>13.04.1966</t>
        </is>
      </c>
      <c r="H37" s="24" t="n"/>
      <c r="I37" s="24" t="n"/>
      <c r="J37" s="24" t="inlineStr">
        <is>
          <t>KOR</t>
        </is>
      </c>
      <c r="K37" s="24" t="inlineStr">
        <is>
          <t>KR, Seoul</t>
        </is>
      </c>
      <c r="L37" s="24" t="inlineStr">
        <is>
          <t>M968W9847</t>
        </is>
      </c>
      <c r="M37" s="24" t="inlineStr"/>
      <c r="N37" s="24" t="n">
        <v>10</v>
      </c>
      <c r="O37" s="24" t="n"/>
      <c r="P37" s="24" t="n"/>
    </row>
    <row r="38">
      <c r="B38" s="41" t="inlineStr">
        <is>
          <t>29.07.2025</t>
        </is>
      </c>
      <c r="C38" s="41" t="inlineStr">
        <is>
          <t>01.08.2025</t>
        </is>
      </c>
      <c r="D38" s="24" t="inlineStr">
        <is>
          <t>Wiessner</t>
        </is>
      </c>
      <c r="E38" s="24" t="inlineStr">
        <is>
          <t>Jana</t>
        </is>
      </c>
      <c r="F38" s="24" t="n"/>
      <c r="G38" s="41" t="inlineStr">
        <is>
          <t>17.05.1976</t>
        </is>
      </c>
      <c r="H38" s="24" t="n"/>
      <c r="I38" s="24" t="n"/>
      <c r="J38" s="24" t="inlineStr">
        <is>
          <t>DEU</t>
        </is>
      </c>
      <c r="K38" s="24" t="inlineStr">
        <is>
          <t>DE, Berlin</t>
        </is>
      </c>
      <c r="L38" s="24" t="inlineStr">
        <is>
          <t>C84KCXYHW</t>
        </is>
      </c>
      <c r="M38" s="24" t="inlineStr"/>
      <c r="N38" s="24" t="n">
        <v>10</v>
      </c>
      <c r="O38" s="24" t="n"/>
      <c r="P38" s="24" t="n"/>
    </row>
    <row r="39">
      <c r="B39" s="41" t="inlineStr">
        <is>
          <t>29.07.2025</t>
        </is>
      </c>
      <c r="C39" s="41" t="inlineStr">
        <is>
          <t>01.08.2025</t>
        </is>
      </c>
      <c r="D39" s="24" t="inlineStr">
        <is>
          <t>Wiessner</t>
        </is>
      </c>
      <c r="E39" s="24" t="inlineStr">
        <is>
          <t>Emily Ela</t>
        </is>
      </c>
      <c r="F39" s="24" t="n"/>
      <c r="G39" s="41" t="inlineStr">
        <is>
          <t>11.05.2013</t>
        </is>
      </c>
      <c r="H39" s="24" t="n"/>
      <c r="I39" s="24" t="n"/>
      <c r="J39" s="24" t="inlineStr">
        <is>
          <t>DEU</t>
        </is>
      </c>
      <c r="K39" s="24" t="inlineStr">
        <is>
          <t>DE, Dresden</t>
        </is>
      </c>
      <c r="L39" s="24" t="inlineStr">
        <is>
          <t>C84KCX7PP</t>
        </is>
      </c>
      <c r="M39" s="24" t="inlineStr"/>
      <c r="N39" s="24" t="n">
        <v>10</v>
      </c>
      <c r="O39" s="24" t="n"/>
      <c r="P39" s="24" t="n"/>
    </row>
    <row r="40">
      <c r="B40" s="41" t="inlineStr">
        <is>
          <t>29.07.2025</t>
        </is>
      </c>
      <c r="C40" s="41" t="inlineStr">
        <is>
          <t>30.07.2025</t>
        </is>
      </c>
      <c r="D40" s="24" t="inlineStr">
        <is>
          <t>Liddington</t>
        </is>
      </c>
      <c r="E40" s="24" t="inlineStr">
        <is>
          <t>Jordan Charles</t>
        </is>
      </c>
      <c r="F40" s="24" t="n"/>
      <c r="G40" s="41" t="inlineStr">
        <is>
          <t>17.04.1999</t>
        </is>
      </c>
      <c r="H40" s="24" t="n"/>
      <c r="I40" s="24" t="n"/>
      <c r="J40" s="24" t="inlineStr">
        <is>
          <t>GBR</t>
        </is>
      </c>
      <c r="K40" s="24" t="inlineStr">
        <is>
          <t>GB, London</t>
        </is>
      </c>
      <c r="L40" s="24" t="inlineStr">
        <is>
          <t>137869042</t>
        </is>
      </c>
      <c r="M40" s="24" t="inlineStr"/>
      <c r="N40" s="24" t="n">
        <v>10</v>
      </c>
      <c r="O40" s="24" t="n"/>
      <c r="P40" s="24" t="n"/>
    </row>
    <row r="41">
      <c r="B41" s="41" t="inlineStr">
        <is>
          <t>29.07.2025</t>
        </is>
      </c>
      <c r="C41" s="41" t="inlineStr">
        <is>
          <t>30.07.2025</t>
        </is>
      </c>
      <c r="D41" s="24" t="inlineStr">
        <is>
          <t>Van Den Berg</t>
        </is>
      </c>
      <c r="E41" s="24" t="inlineStr">
        <is>
          <t>Jelle Pieter</t>
        </is>
      </c>
      <c r="F41" s="24" t="n"/>
      <c r="G41" s="41" t="inlineStr">
        <is>
          <t>17.05.1981</t>
        </is>
      </c>
      <c r="H41" s="24" t="n"/>
      <c r="I41" s="24" t="n"/>
      <c r="J41" s="24" t="inlineStr">
        <is>
          <t>NLD</t>
        </is>
      </c>
      <c r="K41" s="24" t="inlineStr">
        <is>
          <t>NL, Inepro BV, NIEUW-VENNEP, 2153</t>
        </is>
      </c>
      <c r="L41" s="24" t="inlineStr">
        <is>
          <t>IY857F5P7</t>
        </is>
      </c>
      <c r="M41" s="24" t="inlineStr"/>
      <c r="N41" s="24" t="n">
        <v>10</v>
      </c>
      <c r="O41" s="24" t="n"/>
      <c r="P41" s="24" t="n"/>
    </row>
    <row r="42">
      <c r="B42" s="41" t="inlineStr">
        <is>
          <t>29.07.2025</t>
        </is>
      </c>
      <c r="C42" s="41" t="inlineStr">
        <is>
          <t>31.07.2025</t>
        </is>
      </c>
      <c r="D42" s="24" t="inlineStr">
        <is>
          <t>Gerardo Henriques</t>
        </is>
      </c>
      <c r="E42" s="24" t="inlineStr">
        <is>
          <t>Luis Filipe</t>
        </is>
      </c>
      <c r="F42" s="24" t="n"/>
      <c r="G42" s="41" t="inlineStr">
        <is>
          <t>04.07.1974</t>
        </is>
      </c>
      <c r="H42" s="24" t="n"/>
      <c r="I42" s="24" t="n"/>
      <c r="J42" s="24" t="inlineStr">
        <is>
          <t>PRT</t>
        </is>
      </c>
      <c r="K42" s="24" t="inlineStr">
        <is>
          <t>PT, Evora</t>
        </is>
      </c>
      <c r="L42" s="24" t="inlineStr">
        <is>
          <t>102570396</t>
        </is>
      </c>
      <c r="M42" s="24" t="inlineStr"/>
      <c r="N42" s="24" t="n">
        <v>10</v>
      </c>
      <c r="O42" s="24" t="n"/>
      <c r="P42" s="24" t="n"/>
    </row>
    <row r="43">
      <c r="B43" s="41" t="inlineStr">
        <is>
          <t>29.07.2025</t>
        </is>
      </c>
      <c r="C43" s="41" t="inlineStr">
        <is>
          <t>31.07.2025</t>
        </is>
      </c>
      <c r="D43" s="24" t="inlineStr">
        <is>
          <t>Zinchenko</t>
        </is>
      </c>
      <c r="E43" s="24" t="inlineStr">
        <is>
          <t>Olena</t>
        </is>
      </c>
      <c r="F43" s="24" t="n"/>
      <c r="G43" s="41" t="inlineStr">
        <is>
          <t>18.03.1988</t>
        </is>
      </c>
      <c r="H43" s="24" t="n"/>
      <c r="I43" s="24" t="n"/>
      <c r="J43" s="24" t="inlineStr">
        <is>
          <t>UKR</t>
        </is>
      </c>
      <c r="K43" s="24" t="inlineStr">
        <is>
          <t>UA, Odesa</t>
        </is>
      </c>
      <c r="L43" s="24" t="inlineStr">
        <is>
          <t>FE349946</t>
        </is>
      </c>
      <c r="M43" s="24" t="inlineStr"/>
      <c r="N43" s="24" t="n">
        <v>10</v>
      </c>
      <c r="O43" s="24" t="n"/>
      <c r="P43" s="24" t="n"/>
    </row>
    <row r="44">
      <c r="B44" s="41" t="inlineStr">
        <is>
          <t>29.07.2025</t>
        </is>
      </c>
      <c r="C44" s="41" t="inlineStr">
        <is>
          <t>01.08.2025</t>
        </is>
      </c>
      <c r="D44" s="24" t="inlineStr">
        <is>
          <t>Harizanov</t>
        </is>
      </c>
      <c r="E44" s="24" t="inlineStr">
        <is>
          <t>Nikolay Kostov</t>
        </is>
      </c>
      <c r="F44" s="24" t="n"/>
      <c r="G44" s="41" t="inlineStr">
        <is>
          <t>06.11.2002</t>
        </is>
      </c>
      <c r="H44" s="24" t="n"/>
      <c r="I44" s="24" t="n"/>
      <c r="J44" s="24" t="inlineStr">
        <is>
          <t>BGR</t>
        </is>
      </c>
      <c r="K44" s="24" t="inlineStr">
        <is>
          <t>BG, Sofia</t>
        </is>
      </c>
      <c r="L44" s="24" t="inlineStr">
        <is>
          <t>649935137</t>
        </is>
      </c>
      <c r="M44" s="24" t="inlineStr"/>
      <c r="N44" s="24" t="n">
        <v>10</v>
      </c>
      <c r="O44" s="24" t="n"/>
      <c r="P44" s="24" t="n"/>
    </row>
    <row r="45">
      <c r="B45" s="41" t="inlineStr">
        <is>
          <t>29.07.2025</t>
        </is>
      </c>
      <c r="C45" s="41" t="inlineStr">
        <is>
          <t>31.07.2025</t>
        </is>
      </c>
      <c r="D45" s="24" t="inlineStr">
        <is>
          <t>Ramsay</t>
        </is>
      </c>
      <c r="E45" s="24" t="inlineStr">
        <is>
          <t>Ruth Louisa</t>
        </is>
      </c>
      <c r="F45" s="24" t="n"/>
      <c r="G45" s="41" t="inlineStr">
        <is>
          <t>22.07.1981</t>
        </is>
      </c>
      <c r="H45" s="24" t="n"/>
      <c r="I45" s="24" t="n"/>
      <c r="J45" s="24" t="inlineStr">
        <is>
          <t>GBR</t>
        </is>
      </c>
      <c r="K45" s="24" t="inlineStr">
        <is>
          <t>GB, London</t>
        </is>
      </c>
      <c r="L45" s="24" t="inlineStr">
        <is>
          <t>158501814</t>
        </is>
      </c>
      <c r="M45" s="24" t="inlineStr"/>
      <c r="N45" s="24" t="n">
        <v>10</v>
      </c>
      <c r="O45" s="24" t="n"/>
      <c r="P45" s="24" t="n"/>
    </row>
    <row r="46">
      <c r="B46" s="41" t="inlineStr">
        <is>
          <t>29.07.2025</t>
        </is>
      </c>
      <c r="C46" s="41" t="inlineStr">
        <is>
          <t>30.07.2025</t>
        </is>
      </c>
      <c r="D46" s="24" t="inlineStr">
        <is>
          <t>Puhlmann</t>
        </is>
      </c>
      <c r="E46" s="24" t="inlineStr">
        <is>
          <t>Emil Piotr</t>
        </is>
      </c>
      <c r="F46" s="24" t="n"/>
      <c r="G46" s="41" t="inlineStr">
        <is>
          <t>27.09.1989</t>
        </is>
      </c>
      <c r="H46" s="24" t="n"/>
      <c r="I46" s="24" t="n"/>
      <c r="J46" s="24" t="inlineStr">
        <is>
          <t>DEU</t>
        </is>
      </c>
      <c r="K46" s="24" t="inlineStr">
        <is>
          <t>DE, Berlin</t>
        </is>
      </c>
      <c r="L46" s="24" t="inlineStr">
        <is>
          <t>L2CZ3T5CX</t>
        </is>
      </c>
      <c r="M46" s="24" t="inlineStr"/>
      <c r="N46" s="24" t="n">
        <v>10</v>
      </c>
      <c r="O46" s="24" t="n"/>
      <c r="P46" s="24" t="n"/>
    </row>
    <row r="47">
      <c r="B47" s="41" t="inlineStr">
        <is>
          <t>29.07.2025</t>
        </is>
      </c>
      <c r="C47" s="41" t="inlineStr">
        <is>
          <t>30.07.2025</t>
        </is>
      </c>
      <c r="D47" s="24" t="inlineStr">
        <is>
          <t>Paethke</t>
        </is>
      </c>
      <c r="E47" s="24" t="inlineStr">
        <is>
          <t>Wilhelmine Eva</t>
        </is>
      </c>
      <c r="F47" s="24" t="n"/>
      <c r="G47" s="41" t="inlineStr">
        <is>
          <t>29.01.1990</t>
        </is>
      </c>
      <c r="H47" s="24" t="n"/>
      <c r="I47" s="24" t="n"/>
      <c r="J47" s="24" t="inlineStr">
        <is>
          <t>DEU</t>
        </is>
      </c>
      <c r="K47" s="24" t="inlineStr">
        <is>
          <t>DE, Berlin</t>
        </is>
      </c>
      <c r="L47" s="24" t="inlineStr">
        <is>
          <t>L3H971RKJ</t>
        </is>
      </c>
      <c r="M47" s="24" t="inlineStr"/>
      <c r="N47" s="24" t="n">
        <v>10</v>
      </c>
      <c r="O47" s="24" t="n"/>
      <c r="P47" s="24" t="n"/>
    </row>
    <row r="48">
      <c r="B48" s="41" t="inlineStr">
        <is>
          <t>29.07.2025</t>
        </is>
      </c>
      <c r="C48" s="41" t="inlineStr">
        <is>
          <t>31.07.2025</t>
        </is>
      </c>
      <c r="D48" s="24" t="inlineStr">
        <is>
          <t>Bordea</t>
        </is>
      </c>
      <c r="E48" s="24" t="inlineStr">
        <is>
          <t xml:space="preserve">Abel </t>
        </is>
      </c>
      <c r="F48" s="24" t="n"/>
      <c r="G48" s="41" t="inlineStr">
        <is>
          <t>27.04.1994</t>
        </is>
      </c>
      <c r="H48" s="24" t="n"/>
      <c r="I48" s="24" t="n"/>
      <c r="J48" s="24" t="inlineStr">
        <is>
          <t>ROU</t>
        </is>
      </c>
      <c r="K48" s="24" t="inlineStr">
        <is>
          <t>GB, Dagenham, RM8 1JS, Dagenham</t>
        </is>
      </c>
      <c r="L48" s="24" t="inlineStr">
        <is>
          <t>061544716</t>
        </is>
      </c>
      <c r="M48" s="24" t="inlineStr"/>
      <c r="N48" s="24" t="n">
        <v>10</v>
      </c>
      <c r="O48" s="24" t="n"/>
      <c r="P48" s="24" t="n"/>
    </row>
    <row r="49">
      <c r="B49" s="41" t="inlineStr">
        <is>
          <t>29.07.2025</t>
        </is>
      </c>
      <c r="C49" s="41" t="inlineStr">
        <is>
          <t>30.07.2025</t>
        </is>
      </c>
      <c r="D49" s="24" t="inlineStr">
        <is>
          <t>Akbari</t>
        </is>
      </c>
      <c r="E49" s="24" t="inlineStr">
        <is>
          <t>Hamid</t>
        </is>
      </c>
      <c r="F49" s="24" t="n"/>
      <c r="G49" s="41" t="inlineStr">
        <is>
          <t>14.03.1985</t>
        </is>
      </c>
      <c r="H49" s="24" t="n"/>
      <c r="I49" s="24" t="n"/>
      <c r="J49" s="24" t="inlineStr">
        <is>
          <t>IRN</t>
        </is>
      </c>
      <c r="K49" s="24" t="inlineStr">
        <is>
          <t>TR, Isiktepe Osb Mah. Siyah Cad. No:47, 16215, Nilufer-</t>
        </is>
      </c>
      <c r="L49" s="24" t="inlineStr">
        <is>
          <t>R71966988</t>
        </is>
      </c>
      <c r="M49" s="24" t="inlineStr">
        <is>
          <t>071528310</t>
        </is>
      </c>
      <c r="N49" s="24" t="n">
        <v>10</v>
      </c>
      <c r="O49" s="24" t="n"/>
      <c r="P49" s="24" t="n"/>
    </row>
    <row r="50">
      <c r="B50" s="41" t="inlineStr">
        <is>
          <t>29.07.2025</t>
        </is>
      </c>
      <c r="C50" s="41" t="inlineStr">
        <is>
          <t>30.07.2025</t>
        </is>
      </c>
      <c r="D50" s="24" t="inlineStr">
        <is>
          <t>Li</t>
        </is>
      </c>
      <c r="E50" s="24" t="inlineStr">
        <is>
          <t>Pingshu</t>
        </is>
      </c>
      <c r="F50" s="24" t="n"/>
      <c r="G50" s="41" t="inlineStr">
        <is>
          <t>26.05.1980</t>
        </is>
      </c>
      <c r="H50" s="24" t="n"/>
      <c r="I50" s="24" t="n"/>
      <c r="J50" s="24" t="inlineStr">
        <is>
          <t>CHN</t>
        </is>
      </c>
      <c r="K50" s="24" t="inlineStr">
        <is>
          <t>US, 8704 N 21st St, 78504, Mcallen Us</t>
        </is>
      </c>
      <c r="L50" s="24" t="inlineStr">
        <is>
          <t>EJ5400696</t>
        </is>
      </c>
      <c r="M50" s="24" t="inlineStr">
        <is>
          <t>004529208</t>
        </is>
      </c>
      <c r="N50" s="24" t="n">
        <v>10</v>
      </c>
      <c r="O50" s="24" t="n"/>
      <c r="P50" s="24" t="n"/>
    </row>
    <row r="51">
      <c r="B51" s="41" t="inlineStr">
        <is>
          <t>29.07.2025</t>
        </is>
      </c>
      <c r="C51" s="41" t="inlineStr">
        <is>
          <t>31.07.2025</t>
        </is>
      </c>
      <c r="D51" s="24" t="inlineStr">
        <is>
          <t>Mullerkraus</t>
        </is>
      </c>
      <c r="E51" s="24" t="inlineStr">
        <is>
          <t>David</t>
        </is>
      </c>
      <c r="F51" s="24" t="n"/>
      <c r="G51" s="41" t="inlineStr">
        <is>
          <t>16.08.1994</t>
        </is>
      </c>
      <c r="H51" s="24" t="n"/>
      <c r="I51" s="24" t="n"/>
      <c r="J51" s="24" t="inlineStr">
        <is>
          <t>BRA</t>
        </is>
      </c>
      <c r="K51" s="24" t="inlineStr">
        <is>
          <t>SE, Videvagen 7d, 77141, Ludvika</t>
        </is>
      </c>
      <c r="L51" s="24" t="inlineStr">
        <is>
          <t>gg023004</t>
        </is>
      </c>
      <c r="M51" s="24" t="inlineStr"/>
      <c r="N51" s="24" t="n">
        <v>10</v>
      </c>
      <c r="O51" s="24" t="n"/>
      <c r="P51" s="24" t="n"/>
    </row>
    <row r="52">
      <c r="B52" s="41" t="inlineStr">
        <is>
          <t>29.07.2025</t>
        </is>
      </c>
      <c r="C52" s="41" t="inlineStr">
        <is>
          <t>02.08.2025</t>
        </is>
      </c>
      <c r="D52" s="24" t="inlineStr">
        <is>
          <t>Pashman</t>
        </is>
      </c>
      <c r="E52" s="24" t="inlineStr">
        <is>
          <t>Max</t>
        </is>
      </c>
      <c r="F52" s="24" t="n"/>
      <c r="G52" s="41" t="inlineStr">
        <is>
          <t>21.05.1992</t>
        </is>
      </c>
      <c r="H52" s="24" t="n"/>
      <c r="I52" s="24" t="n"/>
      <c r="J52" s="24" t="inlineStr">
        <is>
          <t>USA</t>
        </is>
      </c>
      <c r="K52" s="24" t="inlineStr">
        <is>
          <t>US, 722 Orlando Ave, 90069, Los-Angeles</t>
        </is>
      </c>
      <c r="L52" s="24" t="inlineStr">
        <is>
          <t>A23952373</t>
        </is>
      </c>
      <c r="M52" s="24" t="inlineStr"/>
      <c r="N52" s="24" t="n">
        <v>10</v>
      </c>
      <c r="O52" s="24" t="n"/>
      <c r="P52" s="24" t="n"/>
    </row>
    <row r="53">
      <c r="B53" s="41" t="inlineStr">
        <is>
          <t>29.07.2025</t>
        </is>
      </c>
      <c r="C53" s="41" t="inlineStr">
        <is>
          <t>30.07.2025</t>
        </is>
      </c>
      <c r="D53" s="24" t="inlineStr">
        <is>
          <t>Grgec</t>
        </is>
      </c>
      <c r="E53" s="24" t="inlineStr">
        <is>
          <t>Jackson</t>
        </is>
      </c>
      <c r="F53" s="24" t="n"/>
      <c r="G53" s="41" t="inlineStr">
        <is>
          <t>24.10.1997</t>
        </is>
      </c>
      <c r="H53" s="24" t="n"/>
      <c r="I53" s="24" t="n"/>
      <c r="J53" s="24" t="inlineStr">
        <is>
          <t>NZL</t>
        </is>
      </c>
      <c r="K53" s="24" t="inlineStr">
        <is>
          <t>CA, 2520 Portage Ave, R3J 3T6, Winnipeg</t>
        </is>
      </c>
      <c r="L53" s="24" t="inlineStr">
        <is>
          <t>rb573807</t>
        </is>
      </c>
      <c r="M53" s="24" t="inlineStr"/>
      <c r="N53" s="24" t="n">
        <v>10</v>
      </c>
      <c r="O53" s="24" t="n"/>
      <c r="P53" s="24" t="n"/>
    </row>
  </sheetData>
  <autoFilter ref="A1:P1">
    <sortState ref="A2:P1">
      <sortCondition ref="G1"/>
    </sortState>
  </autoFilter>
  <pageMargins left="0.787401575" right="0.787401575" top="0.984251969" bottom="0.984251969" header="0.4921259845" footer="0.4921259845"/>
  <pageSetup orientation="landscape" paperSize="9" scale="52" fitToHeight="0" horizontalDpi="1200" verticalDpi="1200"/>
</worksheet>
</file>

<file path=xl/worksheets/sheet3.xml><?xml version="1.0" encoding="utf-8"?>
<worksheet xmlns="http://schemas.openxmlformats.org/spreadsheetml/2006/main">
  <sheetPr codeName="List2">
    <outlinePr summaryBelow="1" summaryRight="1"/>
    <pageSetUpPr/>
  </sheetPr>
  <dimension ref="A1:D272"/>
  <sheetViews>
    <sheetView topLeftCell="B169" workbookViewId="0">
      <selection activeCell="B60" sqref="B60"/>
    </sheetView>
  </sheetViews>
  <sheetFormatPr baseColWidth="8" defaultRowHeight="12.75"/>
  <cols>
    <col hidden="1" width="4.42578125" customWidth="1" min="1" max="1"/>
    <col width="5.7109375" bestFit="1" customWidth="1" min="2" max="2"/>
    <col width="36.140625" bestFit="1" customWidth="1" min="3" max="3"/>
    <col hidden="1" width="36.7109375" customWidth="1" min="4" max="4"/>
  </cols>
  <sheetData>
    <row r="1">
      <c r="A1" t="n">
        <v>13</v>
      </c>
      <c r="B1" t="inlineStr">
        <is>
          <t>ABW</t>
        </is>
      </c>
      <c r="C1" t="inlineStr">
        <is>
          <t>Aruba</t>
        </is>
      </c>
      <c r="D1">
        <f>CONCATENATE(B1, " - ",C1)</f>
        <v/>
      </c>
    </row>
    <row r="2">
      <c r="A2" t="n">
        <v>104</v>
      </c>
      <c r="B2" t="inlineStr">
        <is>
          <t>AFG</t>
        </is>
      </c>
      <c r="C2" t="inlineStr">
        <is>
          <t>Afghánistán</t>
        </is>
      </c>
      <c r="D2">
        <f>CONCATENATE(B2, " - ",C2)</f>
        <v/>
      </c>
    </row>
    <row r="3">
      <c r="A3" t="n">
        <v>7</v>
      </c>
      <c r="B3" t="inlineStr">
        <is>
          <t>AGO</t>
        </is>
      </c>
      <c r="C3" t="inlineStr">
        <is>
          <t>Angola</t>
        </is>
      </c>
      <c r="D3">
        <f>CONCATENATE(B3, " - ",C3)</f>
        <v/>
      </c>
    </row>
    <row r="4">
      <c r="A4" t="n">
        <v>8</v>
      </c>
      <c r="B4" t="inlineStr">
        <is>
          <t>AIA</t>
        </is>
      </c>
      <c r="C4" t="inlineStr">
        <is>
          <t>Anguilla</t>
        </is>
      </c>
      <c r="D4">
        <f>CONCATENATE(B4, " - ",C4)</f>
        <v/>
      </c>
    </row>
    <row r="5">
      <c r="A5" t="n">
        <v>2</v>
      </c>
      <c r="B5" t="inlineStr">
        <is>
          <t>ALB</t>
        </is>
      </c>
      <c r="C5" t="inlineStr">
        <is>
          <t>Albánie</t>
        </is>
      </c>
      <c r="D5">
        <f>CONCATENATE(B5, " - ",C5)</f>
        <v/>
      </c>
    </row>
    <row r="6">
      <c r="A6" t="n">
        <v>6</v>
      </c>
      <c r="B6" t="inlineStr">
        <is>
          <t>AND</t>
        </is>
      </c>
      <c r="C6" t="inlineStr">
        <is>
          <t>Andorra</t>
        </is>
      </c>
      <c r="D6">
        <f>CONCATENATE(B6, " - ",C6)</f>
        <v/>
      </c>
    </row>
    <row r="7">
      <c r="A7" t="n">
        <v>201</v>
      </c>
      <c r="B7" t="inlineStr">
        <is>
          <t>ANT</t>
        </is>
      </c>
      <c r="C7" t="inlineStr">
        <is>
          <t>Nizozemské Antily</t>
        </is>
      </c>
      <c r="D7">
        <f>CONCATENATE(B7, " - ",C7)</f>
        <v/>
      </c>
    </row>
    <row r="8">
      <c r="A8" t="n">
        <v>205</v>
      </c>
      <c r="B8" t="inlineStr">
        <is>
          <t>ARE</t>
        </is>
      </c>
      <c r="C8" t="inlineStr">
        <is>
          <t>Spojené arabské emiráty</t>
        </is>
      </c>
      <c r="D8">
        <f>CONCATENATE(B8, " - ",C8)</f>
        <v/>
      </c>
    </row>
    <row r="9">
      <c r="A9" t="n">
        <v>11</v>
      </c>
      <c r="B9" t="inlineStr">
        <is>
          <t>ARG</t>
        </is>
      </c>
      <c r="C9" t="inlineStr">
        <is>
          <t>Argentina</t>
        </is>
      </c>
      <c r="D9">
        <f>CONCATENATE(B9, " - ",C9)</f>
        <v/>
      </c>
    </row>
    <row r="10">
      <c r="A10" t="n">
        <v>12</v>
      </c>
      <c r="B10" t="inlineStr">
        <is>
          <t>ARM</t>
        </is>
      </c>
      <c r="C10" t="inlineStr">
        <is>
          <t>Arménie</t>
        </is>
      </c>
      <c r="D10">
        <f>CONCATENATE(B10, " - ",C10)</f>
        <v/>
      </c>
    </row>
    <row r="11">
      <c r="A11" t="n">
        <v>4</v>
      </c>
      <c r="B11" t="inlineStr">
        <is>
          <t>ASM</t>
        </is>
      </c>
      <c r="C11" t="inlineStr">
        <is>
          <t>Americká Samoa</t>
        </is>
      </c>
      <c r="D11">
        <f>CONCATENATE(B11, " - ",C11)</f>
        <v/>
      </c>
    </row>
    <row r="12">
      <c r="A12" t="n">
        <v>9</v>
      </c>
      <c r="B12" t="inlineStr">
        <is>
          <t>ATA</t>
        </is>
      </c>
      <c r="C12" t="inlineStr">
        <is>
          <t>Antarktida</t>
        </is>
      </c>
      <c r="D12">
        <f>CONCATENATE(B12, " - ",C12)</f>
        <v/>
      </c>
    </row>
    <row r="13">
      <c r="A13" t="n">
        <v>53</v>
      </c>
      <c r="B13" t="inlineStr">
        <is>
          <t>ATF</t>
        </is>
      </c>
      <c r="C13" t="inlineStr">
        <is>
          <t>Francouzská jižní území</t>
        </is>
      </c>
      <c r="D13">
        <f>CONCATENATE(B13, " - ",C13)</f>
        <v/>
      </c>
    </row>
    <row r="14">
      <c r="A14" t="n">
        <v>10</v>
      </c>
      <c r="B14" t="inlineStr">
        <is>
          <t>ATG</t>
        </is>
      </c>
      <c r="C14" t="inlineStr">
        <is>
          <t>Antigua a Barbuda</t>
        </is>
      </c>
      <c r="D14">
        <f>CONCATENATE(B14, " - ",C14)</f>
        <v/>
      </c>
    </row>
    <row r="15">
      <c r="A15" t="n">
        <v>242</v>
      </c>
      <c r="B15" t="inlineStr">
        <is>
          <t>ATN</t>
        </is>
      </c>
      <c r="C15" t="inlineStr">
        <is>
          <t>Země královny Maud</t>
        </is>
      </c>
      <c r="D15">
        <f>CONCATENATE(B15, " - ",C15)</f>
        <v/>
      </c>
    </row>
    <row r="16">
      <c r="A16" t="n">
        <v>14</v>
      </c>
      <c r="B16" t="inlineStr">
        <is>
          <t>AUS</t>
        </is>
      </c>
      <c r="C16" t="inlineStr">
        <is>
          <t>Austrálie</t>
        </is>
      </c>
      <c r="D16">
        <f>CONCATENATE(B16, " - ",C16)</f>
        <v/>
      </c>
    </row>
    <row r="17">
      <c r="A17" t="n">
        <v>173</v>
      </c>
      <c r="B17" t="inlineStr">
        <is>
          <t>AUT</t>
        </is>
      </c>
      <c r="C17" t="inlineStr">
        <is>
          <t>Rakousko</t>
        </is>
      </c>
      <c r="D17">
        <f>CONCATENATE(B17, " - ",C17)</f>
        <v/>
      </c>
    </row>
    <row r="18">
      <c r="A18" t="n">
        <v>15</v>
      </c>
      <c r="B18" t="inlineStr">
        <is>
          <t>AZE</t>
        </is>
      </c>
      <c r="C18" t="inlineStr">
        <is>
          <t>Ázerbájdžán</t>
        </is>
      </c>
      <c r="D18">
        <f>CONCATENATE(B18, " - ",C18)</f>
        <v/>
      </c>
    </row>
    <row r="19">
      <c r="A19" t="n">
        <v>34</v>
      </c>
      <c r="B19" t="inlineStr">
        <is>
          <t>BDI</t>
        </is>
      </c>
      <c r="C19" t="inlineStr">
        <is>
          <t>Burundi</t>
        </is>
      </c>
      <c r="D19">
        <f>CONCATENATE(B19, " - ",C19)</f>
        <v/>
      </c>
    </row>
    <row r="20">
      <c r="A20" t="n">
        <v>19</v>
      </c>
      <c r="B20" t="inlineStr">
        <is>
          <t>BEL</t>
        </is>
      </c>
      <c r="C20" t="inlineStr">
        <is>
          <t>Belgie</t>
        </is>
      </c>
      <c r="D20">
        <f>CONCATENATE(B20, " - ",C20)</f>
        <v/>
      </c>
    </row>
    <row r="21">
      <c r="A21" t="n">
        <v>22</v>
      </c>
      <c r="B21" t="inlineStr">
        <is>
          <t>BEN</t>
        </is>
      </c>
      <c r="C21" t="inlineStr">
        <is>
          <t>Benin</t>
        </is>
      </c>
      <c r="D21">
        <f>CONCATENATE(B21, " - ",C21)</f>
        <v/>
      </c>
    </row>
    <row r="22">
      <c r="A22" t="n">
        <v>280</v>
      </c>
      <c r="B22" t="inlineStr">
        <is>
          <t>BES</t>
        </is>
      </c>
      <c r="C22" t="inlineStr">
        <is>
          <t>Bonaire, Saint Eustatius and Saba</t>
        </is>
      </c>
      <c r="D22">
        <f>CONCATENATE(B22, " - ",C22)</f>
        <v/>
      </c>
    </row>
    <row r="23">
      <c r="A23" t="n">
        <v>33</v>
      </c>
      <c r="B23" t="inlineStr">
        <is>
          <t>BFA</t>
        </is>
      </c>
      <c r="C23" t="inlineStr">
        <is>
          <t>Burkina Faso</t>
        </is>
      </c>
      <c r="D23">
        <f>CONCATENATE(B23, " - ",C23)</f>
        <v/>
      </c>
    </row>
    <row r="24">
      <c r="A24" t="n">
        <v>106</v>
      </c>
      <c r="B24" t="inlineStr">
        <is>
          <t>BGD</t>
        </is>
      </c>
      <c r="C24" t="inlineStr">
        <is>
          <t>Bangladéš</t>
        </is>
      </c>
      <c r="D24">
        <f>CONCATENATE(B24, " - ",C24)</f>
        <v/>
      </c>
    </row>
    <row r="25">
      <c r="A25" t="n">
        <v>32</v>
      </c>
      <c r="B25" t="inlineStr">
        <is>
          <t>BGR</t>
        </is>
      </c>
      <c r="C25" t="inlineStr">
        <is>
          <t>Bulharsko</t>
        </is>
      </c>
      <c r="D25">
        <f>CONCATENATE(B25, " - ",C25)</f>
        <v/>
      </c>
    </row>
    <row r="26">
      <c r="A26" t="n">
        <v>17</v>
      </c>
      <c r="B26" t="inlineStr">
        <is>
          <t>BHR</t>
        </is>
      </c>
      <c r="C26" t="inlineStr">
        <is>
          <t>Bahrajn</t>
        </is>
      </c>
      <c r="D26">
        <f>CONCATENATE(B26, " - ",C26)</f>
        <v/>
      </c>
    </row>
    <row r="27">
      <c r="A27" t="n">
        <v>16</v>
      </c>
      <c r="B27" t="inlineStr">
        <is>
          <t>BHS</t>
        </is>
      </c>
      <c r="C27" t="inlineStr">
        <is>
          <t>Bahamy</t>
        </is>
      </c>
      <c r="D27">
        <f>CONCATENATE(B27, " - ",C27)</f>
        <v/>
      </c>
    </row>
    <row r="28">
      <c r="A28" t="n">
        <v>26</v>
      </c>
      <c r="B28" t="inlineStr">
        <is>
          <t>BIH</t>
        </is>
      </c>
      <c r="C28" t="inlineStr">
        <is>
          <t>Bosna a Hercegovina</t>
        </is>
      </c>
      <c r="D28">
        <f>CONCATENATE(B28, " - ",C28)</f>
        <v/>
      </c>
    </row>
    <row r="29">
      <c r="A29" t="n">
        <v>278</v>
      </c>
      <c r="B29" t="inlineStr">
        <is>
          <t>BLM</t>
        </is>
      </c>
      <c r="C29" t="inlineStr">
        <is>
          <t>Saint Barthélemy</t>
        </is>
      </c>
      <c r="D29">
        <f>CONCATENATE(B29, " - ",C29)</f>
        <v/>
      </c>
    </row>
    <row r="30">
      <c r="A30" t="n">
        <v>21</v>
      </c>
      <c r="B30" t="inlineStr">
        <is>
          <t>BLR</t>
        </is>
      </c>
      <c r="C30" t="inlineStr">
        <is>
          <t>Bělorusko</t>
        </is>
      </c>
      <c r="D30">
        <f>CONCATENATE(B30, " - ",C30)</f>
        <v/>
      </c>
    </row>
    <row r="31">
      <c r="A31" t="n">
        <v>20</v>
      </c>
      <c r="B31" t="inlineStr">
        <is>
          <t>BLZ</t>
        </is>
      </c>
      <c r="C31" t="inlineStr">
        <is>
          <t>Belize</t>
        </is>
      </c>
      <c r="D31">
        <f>CONCATENATE(B31, " - ",C31)</f>
        <v/>
      </c>
    </row>
    <row r="32">
      <c r="A32" t="n">
        <v>23</v>
      </c>
      <c r="B32" t="inlineStr">
        <is>
          <t>BMU</t>
        </is>
      </c>
      <c r="C32" t="inlineStr">
        <is>
          <t>Bermudy</t>
        </is>
      </c>
      <c r="D32">
        <f>CONCATENATE(B32, " - ",C32)</f>
        <v/>
      </c>
    </row>
    <row r="33">
      <c r="A33" t="n">
        <v>25</v>
      </c>
      <c r="B33" t="inlineStr">
        <is>
          <t>BOL</t>
        </is>
      </c>
      <c r="C33" t="inlineStr">
        <is>
          <t>Bolívie</t>
        </is>
      </c>
      <c r="D33">
        <f>CONCATENATE(B33, " - ",C33)</f>
        <v/>
      </c>
    </row>
    <row r="34">
      <c r="A34" t="n">
        <v>29</v>
      </c>
      <c r="B34" t="inlineStr">
        <is>
          <t>BRA</t>
        </is>
      </c>
      <c r="C34" t="inlineStr">
        <is>
          <t>Brazílie</t>
        </is>
      </c>
      <c r="D34">
        <f>CONCATENATE(B34, " - ",C34)</f>
        <v/>
      </c>
    </row>
    <row r="35">
      <c r="A35" t="n">
        <v>18</v>
      </c>
      <c r="B35" t="inlineStr">
        <is>
          <t>BRB</t>
        </is>
      </c>
      <c r="C35" t="inlineStr">
        <is>
          <t>Barbados</t>
        </is>
      </c>
      <c r="D35">
        <f>CONCATENATE(B35, " - ",C35)</f>
        <v/>
      </c>
    </row>
    <row r="36">
      <c r="A36" t="n">
        <v>31</v>
      </c>
      <c r="B36" t="inlineStr">
        <is>
          <t>BRN</t>
        </is>
      </c>
      <c r="C36" t="inlineStr">
        <is>
          <t>Brunej Darussalam</t>
        </is>
      </c>
      <c r="D36">
        <f>CONCATENATE(B36, " - ",C36)</f>
        <v/>
      </c>
    </row>
    <row r="37">
      <c r="A37" t="n">
        <v>24</v>
      </c>
      <c r="B37" t="inlineStr">
        <is>
          <t>BTN</t>
        </is>
      </c>
      <c r="C37" t="inlineStr">
        <is>
          <t>Bhútán</t>
        </is>
      </c>
      <c r="D37">
        <f>CONCATENATE(B37, " - ",C37)</f>
        <v/>
      </c>
    </row>
    <row r="38">
      <c r="A38" t="n">
        <v>28</v>
      </c>
      <c r="B38" t="inlineStr">
        <is>
          <t>BVT</t>
        </is>
      </c>
      <c r="C38" t="inlineStr">
        <is>
          <t>Bouvetův ostrov</t>
        </is>
      </c>
      <c r="D38">
        <f>CONCATENATE(B38, " - ",C38)</f>
        <v/>
      </c>
    </row>
    <row r="39">
      <c r="A39" t="n">
        <v>27</v>
      </c>
      <c r="B39" t="inlineStr">
        <is>
          <t>BWA</t>
        </is>
      </c>
      <c r="C39" t="inlineStr">
        <is>
          <t>Botswana</t>
        </is>
      </c>
      <c r="D39">
        <f>CONCATENATE(B39, " - ",C39)</f>
        <v/>
      </c>
    </row>
    <row r="40">
      <c r="A40" t="n">
        <v>99</v>
      </c>
      <c r="B40" t="inlineStr">
        <is>
          <t>CAF</t>
        </is>
      </c>
      <c r="C40" t="inlineStr">
        <is>
          <t>Středoafrická republika</t>
        </is>
      </c>
      <c r="D40">
        <f>CONCATENATE(B40, " - ",C40)</f>
        <v/>
      </c>
    </row>
    <row r="41">
      <c r="A41" t="n">
        <v>85</v>
      </c>
      <c r="B41" t="inlineStr">
        <is>
          <t>CAN</t>
        </is>
      </c>
      <c r="C41" t="inlineStr">
        <is>
          <t>Kanada</t>
        </is>
      </c>
      <c r="D41">
        <f>CONCATENATE(B41, " - ",C41)</f>
        <v/>
      </c>
    </row>
    <row r="42">
      <c r="A42" t="n">
        <v>200</v>
      </c>
      <c r="B42" t="inlineStr">
        <is>
          <t>CCK</t>
        </is>
      </c>
      <c r="C42" t="inlineStr">
        <is>
          <t>Kokosové ostrovy</t>
        </is>
      </c>
      <c r="D42">
        <f>CONCATENATE(B42, " - ",C42)</f>
        <v/>
      </c>
    </row>
    <row r="43">
      <c r="A43" t="n">
        <v>170</v>
      </c>
      <c r="B43" t="inlineStr">
        <is>
          <t>CIV</t>
        </is>
      </c>
      <c r="C43" t="inlineStr">
        <is>
          <t>Pobřeží slonoviny</t>
        </is>
      </c>
      <c r="D43">
        <f>CONCATENATE(B43, " - ",C43)</f>
        <v/>
      </c>
    </row>
    <row r="44">
      <c r="A44" t="n">
        <v>84</v>
      </c>
      <c r="B44" t="inlineStr">
        <is>
          <t>CMR</t>
        </is>
      </c>
      <c r="C44" t="inlineStr">
        <is>
          <t>Kamerun</t>
        </is>
      </c>
      <c r="D44">
        <f>CONCATENATE(B44, " - ",C44)</f>
        <v/>
      </c>
    </row>
    <row r="45">
      <c r="A45" t="n">
        <v>93</v>
      </c>
      <c r="B45" t="inlineStr">
        <is>
          <t>COD</t>
        </is>
      </c>
      <c r="C45" t="inlineStr">
        <is>
          <t>Kongo, demokratická republika</t>
        </is>
      </c>
      <c r="D45">
        <f>CONCATENATE(B45, " - ",C45)</f>
        <v/>
      </c>
    </row>
    <row r="46">
      <c r="A46" t="n">
        <v>92</v>
      </c>
      <c r="B46" t="inlineStr">
        <is>
          <t>COG</t>
        </is>
      </c>
      <c r="C46" t="inlineStr">
        <is>
          <t>Kongo</t>
        </is>
      </c>
      <c r="D46">
        <f>CONCATENATE(B46, " - ",C46)</f>
        <v/>
      </c>
    </row>
    <row r="47">
      <c r="A47" t="n">
        <v>36</v>
      </c>
      <c r="B47" t="inlineStr">
        <is>
          <t>COK</t>
        </is>
      </c>
      <c r="C47" t="inlineStr">
        <is>
          <t>Cookovy ostrovy</t>
        </is>
      </c>
      <c r="D47">
        <f>CONCATENATE(B47, " - ",C47)</f>
        <v/>
      </c>
    </row>
    <row r="48">
      <c r="A48" t="n">
        <v>90</v>
      </c>
      <c r="B48" t="inlineStr">
        <is>
          <t>COL</t>
        </is>
      </c>
      <c r="C48" t="inlineStr">
        <is>
          <t>Kolumbie</t>
        </is>
      </c>
      <c r="D48">
        <f>CONCATENATE(B48, " - ",C48)</f>
        <v/>
      </c>
    </row>
    <row r="49">
      <c r="A49" t="n">
        <v>91</v>
      </c>
      <c r="B49" t="inlineStr">
        <is>
          <t>COM</t>
        </is>
      </c>
      <c r="C49" t="inlineStr">
        <is>
          <t>Komory</t>
        </is>
      </c>
      <c r="D49">
        <f>CONCATENATE(B49, " - ",C49)</f>
        <v/>
      </c>
    </row>
    <row r="50">
      <c r="A50" t="n">
        <v>86</v>
      </c>
      <c r="B50" t="inlineStr">
        <is>
          <t>CPV</t>
        </is>
      </c>
      <c r="C50" t="inlineStr">
        <is>
          <t>Kapverdy</t>
        </is>
      </c>
      <c r="D50">
        <f>CONCATENATE(B50, " - ",C50)</f>
        <v/>
      </c>
    </row>
    <row r="51">
      <c r="A51" t="n">
        <v>114</v>
      </c>
      <c r="B51" t="inlineStr">
        <is>
          <t>CRI</t>
        </is>
      </c>
      <c r="C51" t="inlineStr">
        <is>
          <t>Kostarika</t>
        </is>
      </c>
      <c r="D51">
        <f>CONCATENATE(B51, " - ",C51)</f>
        <v/>
      </c>
    </row>
    <row r="52">
      <c r="A52" t="n">
        <v>115</v>
      </c>
      <c r="B52" t="inlineStr">
        <is>
          <t>CUB</t>
        </is>
      </c>
      <c r="C52" t="inlineStr">
        <is>
          <t>Kuba</t>
        </is>
      </c>
      <c r="D52">
        <f>CONCATENATE(B52, " - ",C52)</f>
        <v/>
      </c>
    </row>
    <row r="53">
      <c r="A53" t="n">
        <v>281</v>
      </c>
      <c r="B53" t="inlineStr">
        <is>
          <t>CUW</t>
        </is>
      </c>
      <c r="C53" t="inlineStr">
        <is>
          <t>Curaçao</t>
        </is>
      </c>
      <c r="D53">
        <f>CONCATENATE(B53, " - ",C53)</f>
        <v/>
      </c>
    </row>
    <row r="54">
      <c r="A54" t="n">
        <v>234</v>
      </c>
      <c r="B54" t="inlineStr">
        <is>
          <t>CXR</t>
        </is>
      </c>
      <c r="C54" t="inlineStr">
        <is>
          <t>Vánoční ostrov</t>
        </is>
      </c>
      <c r="D54">
        <f>CONCATENATE(B54, " - ",C54)</f>
        <v/>
      </c>
    </row>
    <row r="55">
      <c r="A55" t="n">
        <v>82</v>
      </c>
      <c r="B55" t="inlineStr">
        <is>
          <t>CYM</t>
        </is>
      </c>
      <c r="C55" t="inlineStr">
        <is>
          <t>Kajmanské ostrovy</t>
        </is>
      </c>
      <c r="D55">
        <f>CONCATENATE(B55, " - ",C55)</f>
        <v/>
      </c>
    </row>
    <row r="56">
      <c r="A56" t="n">
        <v>117</v>
      </c>
      <c r="B56" t="inlineStr">
        <is>
          <t>CYP</t>
        </is>
      </c>
      <c r="C56" t="inlineStr">
        <is>
          <t>Kypr</t>
        </is>
      </c>
      <c r="D56">
        <f>CONCATENATE(B56, " - ",C56)</f>
        <v/>
      </c>
    </row>
    <row r="57">
      <c r="A57" t="n">
        <v>152</v>
      </c>
      <c r="B57" t="inlineStr">
        <is>
          <t>DEU</t>
        </is>
      </c>
      <c r="C57" t="inlineStr">
        <is>
          <t>Německo</t>
        </is>
      </c>
      <c r="D57">
        <f>CONCATENATE(B57, " - ",C57)</f>
        <v/>
      </c>
    </row>
    <row r="58">
      <c r="A58" t="n">
        <v>42</v>
      </c>
      <c r="B58" t="inlineStr">
        <is>
          <t>DJI</t>
        </is>
      </c>
      <c r="C58" t="inlineStr">
        <is>
          <t>Džibutsko</t>
        </is>
      </c>
      <c r="D58">
        <f>CONCATENATE(B58, " - ",C58)</f>
        <v/>
      </c>
    </row>
    <row r="59">
      <c r="A59" t="n">
        <v>41</v>
      </c>
      <c r="B59" t="inlineStr">
        <is>
          <t>DMA</t>
        </is>
      </c>
      <c r="C59" t="inlineStr">
        <is>
          <t>Dominika</t>
        </is>
      </c>
      <c r="D59">
        <f>CONCATENATE(B59, " - ",C59)</f>
        <v/>
      </c>
    </row>
    <row r="60">
      <c r="A60" t="n">
        <v>40</v>
      </c>
      <c r="B60" t="inlineStr">
        <is>
          <t>DNK</t>
        </is>
      </c>
      <c r="C60" t="inlineStr">
        <is>
          <t>Dánsko</t>
        </is>
      </c>
      <c r="D60">
        <f>CONCATENATE(B60, " - ",C60)</f>
        <v/>
      </c>
    </row>
    <row r="61">
      <c r="A61" t="n">
        <v>193</v>
      </c>
      <c r="B61" t="inlineStr">
        <is>
          <t>DOM</t>
        </is>
      </c>
      <c r="C61" t="inlineStr">
        <is>
          <t>Dominikánská republika</t>
        </is>
      </c>
      <c r="D61">
        <f>CONCATENATE(B61, " - ",C61)</f>
        <v/>
      </c>
    </row>
    <row r="62">
      <c r="A62" t="n">
        <v>3</v>
      </c>
      <c r="B62" t="inlineStr">
        <is>
          <t>DZA</t>
        </is>
      </c>
      <c r="C62" t="inlineStr">
        <is>
          <t>Alžírsko</t>
        </is>
      </c>
      <c r="D62">
        <f>CONCATENATE(B62, " - ",C62)</f>
        <v/>
      </c>
    </row>
    <row r="63">
      <c r="A63" t="n">
        <v>44</v>
      </c>
      <c r="B63" t="inlineStr">
        <is>
          <t>ECU</t>
        </is>
      </c>
      <c r="C63" t="inlineStr">
        <is>
          <t>Ekvádor</t>
        </is>
      </c>
      <c r="D63">
        <f>CONCATENATE(B63, " - ",C63)</f>
        <v/>
      </c>
    </row>
    <row r="64">
      <c r="A64" t="n">
        <v>43</v>
      </c>
      <c r="B64" t="inlineStr">
        <is>
          <t>EGY</t>
        </is>
      </c>
      <c r="C64" t="inlineStr">
        <is>
          <t>Egypt</t>
        </is>
      </c>
      <c r="D64">
        <f>CONCATENATE(B64, " - ",C64)</f>
        <v/>
      </c>
    </row>
    <row r="65">
      <c r="A65" t="n">
        <v>45</v>
      </c>
      <c r="B65" t="inlineStr">
        <is>
          <t>ERI</t>
        </is>
      </c>
      <c r="C65" t="inlineStr">
        <is>
          <t>Eritrea</t>
        </is>
      </c>
      <c r="D65">
        <f>CONCATENATE(B65, " - ",C65)</f>
        <v/>
      </c>
    </row>
    <row r="66">
      <c r="A66" t="n">
        <v>96</v>
      </c>
      <c r="B66" t="inlineStr">
        <is>
          <t>ESH</t>
        </is>
      </c>
      <c r="C66" t="inlineStr">
        <is>
          <t>Západní Sahara</t>
        </is>
      </c>
      <c r="D66">
        <f>CONCATENATE(B66, " - ",C66)</f>
        <v/>
      </c>
    </row>
    <row r="67">
      <c r="A67" t="n">
        <v>214</v>
      </c>
      <c r="B67" t="inlineStr">
        <is>
          <t>ESP</t>
        </is>
      </c>
      <c r="C67" t="inlineStr">
        <is>
          <t>Španělsko</t>
        </is>
      </c>
      <c r="D67">
        <f>CONCATENATE(B67, " - ",C67)</f>
        <v/>
      </c>
    </row>
    <row r="68">
      <c r="A68" t="n">
        <v>46</v>
      </c>
      <c r="B68" t="inlineStr">
        <is>
          <t>EST</t>
        </is>
      </c>
      <c r="C68" t="inlineStr">
        <is>
          <t>Estonsko</t>
        </is>
      </c>
      <c r="D68">
        <f>CONCATENATE(B68, " - ",C68)</f>
        <v/>
      </c>
    </row>
    <row r="69">
      <c r="A69" t="n">
        <v>47</v>
      </c>
      <c r="B69" t="inlineStr">
        <is>
          <t>ETH</t>
        </is>
      </c>
      <c r="C69" t="inlineStr">
        <is>
          <t>Etiopie</t>
        </is>
      </c>
      <c r="D69">
        <f>CONCATENATE(B69, " - ",C69)</f>
        <v/>
      </c>
    </row>
    <row r="70">
      <c r="A70" t="n">
        <v>52</v>
      </c>
      <c r="B70" t="inlineStr">
        <is>
          <t>FIN</t>
        </is>
      </c>
      <c r="C70" t="inlineStr">
        <is>
          <t>Finsko</t>
        </is>
      </c>
      <c r="D70">
        <f>CONCATENATE(B70, " - ",C70)</f>
        <v/>
      </c>
    </row>
    <row r="71">
      <c r="A71" t="n">
        <v>50</v>
      </c>
      <c r="B71" t="inlineStr">
        <is>
          <t>FJI</t>
        </is>
      </c>
      <c r="C71" t="inlineStr">
        <is>
          <t>Fidži</t>
        </is>
      </c>
      <c r="D71">
        <f>CONCATENATE(B71, " - ",C71)</f>
        <v/>
      </c>
    </row>
    <row r="72">
      <c r="A72" t="n">
        <v>49</v>
      </c>
      <c r="B72" t="inlineStr">
        <is>
          <t>FLK</t>
        </is>
      </c>
      <c r="C72" t="inlineStr">
        <is>
          <t>Falklandy</t>
        </is>
      </c>
      <c r="D72">
        <f>CONCATENATE(B72, " - ",C72)</f>
        <v/>
      </c>
    </row>
    <row r="73">
      <c r="A73" t="n">
        <v>194</v>
      </c>
      <c r="B73" t="inlineStr">
        <is>
          <t>FRA</t>
        </is>
      </c>
      <c r="C73" t="inlineStr">
        <is>
          <t>Francie</t>
        </is>
      </c>
      <c r="D73">
        <f>CONCATENATE(B73, " - ",C73)</f>
        <v/>
      </c>
    </row>
    <row r="74">
      <c r="A74" t="n">
        <v>48</v>
      </c>
      <c r="B74" t="inlineStr">
        <is>
          <t>FRO</t>
        </is>
      </c>
      <c r="C74" t="inlineStr">
        <is>
          <t>Faerské ostrovy</t>
        </is>
      </c>
      <c r="D74">
        <f>CONCATENATE(B74, " - ",C74)</f>
        <v/>
      </c>
    </row>
    <row r="75">
      <c r="A75" t="n">
        <v>144</v>
      </c>
      <c r="B75" t="inlineStr">
        <is>
          <t>FSM</t>
        </is>
      </c>
      <c r="C75" t="inlineStr">
        <is>
          <t>Mikronésie</t>
        </is>
      </c>
      <c r="D75">
        <f>CONCATENATE(B75, " - ",C75)</f>
        <v/>
      </c>
    </row>
    <row r="76">
      <c r="A76" t="n">
        <v>263</v>
      </c>
      <c r="B76" t="inlineStr">
        <is>
          <t>FXX</t>
        </is>
      </c>
      <c r="C76" t="inlineStr">
        <is>
          <t>Francie metropolitní</t>
        </is>
      </c>
      <c r="D76">
        <f>CONCATENATE(B76, " - ",C76)</f>
        <v/>
      </c>
    </row>
    <row r="77">
      <c r="A77" t="n">
        <v>55</v>
      </c>
      <c r="B77" t="inlineStr">
        <is>
          <t>GAB</t>
        </is>
      </c>
      <c r="C77" t="inlineStr">
        <is>
          <t>Gabon</t>
        </is>
      </c>
      <c r="D77">
        <f>CONCATENATE(B77, " - ",C77)</f>
        <v/>
      </c>
    </row>
    <row r="78">
      <c r="A78" t="n">
        <v>243</v>
      </c>
      <c r="B78" t="inlineStr">
        <is>
          <t>GBD</t>
        </is>
      </c>
      <c r="C78" t="inlineStr">
        <is>
          <t>britská závislá území</t>
        </is>
      </c>
      <c r="D78">
        <f>CONCATENATE(B78, " - ",C78)</f>
        <v/>
      </c>
    </row>
    <row r="79">
      <c r="A79" t="n">
        <v>264</v>
      </c>
      <c r="B79" t="inlineStr">
        <is>
          <t>GBN</t>
        </is>
      </c>
      <c r="C79" t="inlineStr">
        <is>
          <t>britská zámořská národnost</t>
        </is>
      </c>
      <c r="D79">
        <f>CONCATENATE(B79, " - ",C79)</f>
        <v/>
      </c>
    </row>
    <row r="80">
      <c r="A80" t="n">
        <v>244</v>
      </c>
      <c r="B80" t="inlineStr">
        <is>
          <t>GBO</t>
        </is>
      </c>
      <c r="C80" t="inlineStr">
        <is>
          <t>britské zámořské území</t>
        </is>
      </c>
      <c r="D80">
        <f>CONCATENATE(B80, " - ",C80)</f>
        <v/>
      </c>
    </row>
    <row r="81">
      <c r="A81" t="n">
        <v>265</v>
      </c>
      <c r="B81" t="inlineStr">
        <is>
          <t>GBP</t>
        </is>
      </c>
      <c r="C81" t="inlineStr">
        <is>
          <t>britské chráněné osoby</t>
        </is>
      </c>
      <c r="D81">
        <f>CONCATENATE(B81, " - ",C81)</f>
        <v/>
      </c>
    </row>
    <row r="82">
      <c r="A82" t="n">
        <v>189</v>
      </c>
      <c r="B82" t="inlineStr">
        <is>
          <t>GBR</t>
        </is>
      </c>
      <c r="C82" t="inlineStr">
        <is>
          <t>Spojené království</t>
        </is>
      </c>
      <c r="D82">
        <f>CONCATENATE(B82, " - ",C82)</f>
        <v/>
      </c>
    </row>
    <row r="83">
      <c r="A83" t="n">
        <v>245</v>
      </c>
      <c r="B83" t="inlineStr">
        <is>
          <t>GBS</t>
        </is>
      </c>
      <c r="C83" t="inlineStr">
        <is>
          <t>Britský subjekt</t>
        </is>
      </c>
      <c r="D83">
        <f>CONCATENATE(B83, " - ",C83)</f>
        <v/>
      </c>
    </row>
    <row r="84">
      <c r="A84" t="n">
        <v>59</v>
      </c>
      <c r="B84" t="inlineStr">
        <is>
          <t>GEO</t>
        </is>
      </c>
      <c r="C84" t="inlineStr">
        <is>
          <t>Gruzie</t>
        </is>
      </c>
      <c r="D84">
        <f>CONCATENATE(B84, " - ",C84)</f>
        <v/>
      </c>
    </row>
    <row r="85">
      <c r="A85" t="n">
        <v>57</v>
      </c>
      <c r="B85" t="inlineStr">
        <is>
          <t>GHA</t>
        </is>
      </c>
      <c r="C85" t="inlineStr">
        <is>
          <t>Ghana</t>
        </is>
      </c>
      <c r="D85">
        <f>CONCATENATE(B85, " - ",C85)</f>
        <v/>
      </c>
    </row>
    <row r="86">
      <c r="A86" t="n">
        <v>195</v>
      </c>
      <c r="B86" t="inlineStr">
        <is>
          <t>GIB</t>
        </is>
      </c>
      <c r="C86" t="inlineStr">
        <is>
          <t>Gibraltar</t>
        </is>
      </c>
      <c r="D86">
        <f>CONCATENATE(B86, " - ",C86)</f>
        <v/>
      </c>
    </row>
    <row r="87">
      <c r="A87" t="n">
        <v>62</v>
      </c>
      <c r="B87" t="inlineStr">
        <is>
          <t>GIN</t>
        </is>
      </c>
      <c r="C87" t="inlineStr">
        <is>
          <t>Guinea</t>
        </is>
      </c>
      <c r="D87">
        <f>CONCATENATE(B87, " - ",C87)</f>
        <v/>
      </c>
    </row>
    <row r="88">
      <c r="A88" t="n">
        <v>266</v>
      </c>
      <c r="B88" t="inlineStr">
        <is>
          <t>GLP</t>
        </is>
      </c>
      <c r="C88" t="inlineStr">
        <is>
          <t>Guadeloupe</t>
        </is>
      </c>
      <c r="D88">
        <f>CONCATENATE(B88, " - ",C88)</f>
        <v/>
      </c>
    </row>
    <row r="89">
      <c r="A89" t="n">
        <v>56</v>
      </c>
      <c r="B89" t="inlineStr">
        <is>
          <t>GMB</t>
        </is>
      </c>
      <c r="C89" t="inlineStr">
        <is>
          <t>Gambie</t>
        </is>
      </c>
      <c r="D89">
        <f>CONCATENATE(B89, " - ",C89)</f>
        <v/>
      </c>
    </row>
    <row r="90">
      <c r="A90" t="n">
        <v>63</v>
      </c>
      <c r="B90" t="inlineStr">
        <is>
          <t>GNB</t>
        </is>
      </c>
      <c r="C90" t="inlineStr">
        <is>
          <t>Guinea-Bissau</t>
        </is>
      </c>
      <c r="D90">
        <f>CONCATENATE(B90, " - ",C90)</f>
        <v/>
      </c>
    </row>
    <row r="91">
      <c r="A91" t="n">
        <v>174</v>
      </c>
      <c r="B91" t="inlineStr">
        <is>
          <t>GNQ</t>
        </is>
      </c>
      <c r="C91" t="inlineStr">
        <is>
          <t>Rovníková Guinea</t>
        </is>
      </c>
      <c r="D91">
        <f>CONCATENATE(B91, " - ",C91)</f>
        <v/>
      </c>
    </row>
    <row r="92">
      <c r="A92" t="n">
        <v>177</v>
      </c>
      <c r="B92" t="inlineStr">
        <is>
          <t>GRC</t>
        </is>
      </c>
      <c r="C92" t="inlineStr">
        <is>
          <t>Řecko</t>
        </is>
      </c>
      <c r="D92">
        <f>CONCATENATE(B92, " - ",C92)</f>
        <v/>
      </c>
    </row>
    <row r="93">
      <c r="A93" t="n">
        <v>58</v>
      </c>
      <c r="B93" t="inlineStr">
        <is>
          <t>GRD</t>
        </is>
      </c>
      <c r="C93" t="inlineStr">
        <is>
          <t>Grenada</t>
        </is>
      </c>
      <c r="D93">
        <f>CONCATENATE(B93, " - ",C93)</f>
        <v/>
      </c>
    </row>
    <row r="94">
      <c r="A94" t="n">
        <v>107</v>
      </c>
      <c r="B94" t="inlineStr">
        <is>
          <t>GRL</t>
        </is>
      </c>
      <c r="C94" t="inlineStr">
        <is>
          <t>Grónsko</t>
        </is>
      </c>
      <c r="D94">
        <f>CONCATENATE(B94, " - ",C94)</f>
        <v/>
      </c>
    </row>
    <row r="95">
      <c r="A95" t="n">
        <v>61</v>
      </c>
      <c r="B95" t="inlineStr">
        <is>
          <t>GTM</t>
        </is>
      </c>
      <c r="C95" t="inlineStr">
        <is>
          <t>Guatemala</t>
        </is>
      </c>
      <c r="D95">
        <f>CONCATENATE(B95, " - ",C95)</f>
        <v/>
      </c>
    </row>
    <row r="96">
      <c r="A96" t="n">
        <v>192</v>
      </c>
      <c r="B96" t="inlineStr">
        <is>
          <t>GUF</t>
        </is>
      </c>
      <c r="C96" t="inlineStr">
        <is>
          <t>Francouzská Guyana</t>
        </is>
      </c>
      <c r="D96">
        <f>CONCATENATE(B96, " - ",C96)</f>
        <v/>
      </c>
    </row>
    <row r="97">
      <c r="A97" t="n">
        <v>60</v>
      </c>
      <c r="B97" t="inlineStr">
        <is>
          <t>GUM</t>
        </is>
      </c>
      <c r="C97" t="inlineStr">
        <is>
          <t>Guam</t>
        </is>
      </c>
      <c r="D97">
        <f>CONCATENATE(B97, " - ",C97)</f>
        <v/>
      </c>
    </row>
    <row r="98">
      <c r="A98" t="n">
        <v>196</v>
      </c>
      <c r="B98" t="inlineStr">
        <is>
          <t>GUY</t>
        </is>
      </c>
      <c r="C98" t="inlineStr">
        <is>
          <t>Guyana</t>
        </is>
      </c>
      <c r="D98">
        <f>CONCATENATE(B98, " - ",C98)</f>
        <v/>
      </c>
    </row>
    <row r="99">
      <c r="A99" t="n">
        <v>67</v>
      </c>
      <c r="B99" t="inlineStr">
        <is>
          <t>HKG</t>
        </is>
      </c>
      <c r="C99" t="inlineStr">
        <is>
          <t>Hongkong</t>
        </is>
      </c>
      <c r="D99">
        <f>CONCATENATE(B99, " - ",C99)</f>
        <v/>
      </c>
    </row>
    <row r="100">
      <c r="A100" t="n">
        <v>65</v>
      </c>
      <c r="B100" t="inlineStr">
        <is>
          <t>HMD</t>
        </is>
      </c>
      <c r="C100" t="inlineStr">
        <is>
          <t>Heardův ostrov a McDonaldovy ostrovy</t>
        </is>
      </c>
      <c r="D100">
        <f>CONCATENATE(B100, " - ",C100)</f>
        <v/>
      </c>
    </row>
    <row r="101">
      <c r="A101" t="n">
        <v>66</v>
      </c>
      <c r="B101" t="inlineStr">
        <is>
          <t>HND</t>
        </is>
      </c>
      <c r="C101" t="inlineStr">
        <is>
          <t>Honduras</t>
        </is>
      </c>
      <c r="D101">
        <f>CONCATENATE(B101, " - ",C101)</f>
        <v/>
      </c>
    </row>
    <row r="102">
      <c r="A102" t="n">
        <v>69</v>
      </c>
      <c r="B102" t="inlineStr">
        <is>
          <t>HRV</t>
        </is>
      </c>
      <c r="C102" t="inlineStr">
        <is>
          <t>Chorvatsko</t>
        </is>
      </c>
      <c r="D102">
        <f>CONCATENATE(B102, " - ",C102)</f>
        <v/>
      </c>
    </row>
    <row r="103">
      <c r="A103" t="n">
        <v>64</v>
      </c>
      <c r="B103" t="inlineStr">
        <is>
          <t>HTI</t>
        </is>
      </c>
      <c r="C103" t="inlineStr">
        <is>
          <t>Haiti</t>
        </is>
      </c>
      <c r="D103">
        <f>CONCATENATE(B103, " - ",C103)</f>
        <v/>
      </c>
    </row>
    <row r="104">
      <c r="A104" t="n">
        <v>129</v>
      </c>
      <c r="B104" t="inlineStr">
        <is>
          <t>HUN</t>
        </is>
      </c>
      <c r="C104" t="inlineStr">
        <is>
          <t>Maďarsko</t>
        </is>
      </c>
      <c r="D104">
        <f>CONCATENATE(B104, " - ",C104)</f>
        <v/>
      </c>
    </row>
    <row r="105">
      <c r="A105" t="n">
        <v>216</v>
      </c>
      <c r="B105" t="inlineStr">
        <is>
          <t>CHE</t>
        </is>
      </c>
      <c r="C105" t="inlineStr">
        <is>
          <t>Švýcarsko</t>
        </is>
      </c>
      <c r="D105">
        <f>CONCATENATE(B105, " - ",C105)</f>
        <v/>
      </c>
    </row>
    <row r="106">
      <c r="A106" t="n">
        <v>68</v>
      </c>
      <c r="B106" t="inlineStr">
        <is>
          <t>CHL</t>
        </is>
      </c>
      <c r="C106" t="inlineStr">
        <is>
          <t>Chile</t>
        </is>
      </c>
      <c r="D106">
        <f>CONCATENATE(B106, " - ",C106)</f>
        <v/>
      </c>
    </row>
    <row r="107">
      <c r="A107" t="n">
        <v>39</v>
      </c>
      <c r="B107" t="inlineStr">
        <is>
          <t>CHN</t>
        </is>
      </c>
      <c r="C107" t="inlineStr">
        <is>
          <t>Čína</t>
        </is>
      </c>
      <c r="D107">
        <f>CONCATENATE(B107, " - ",C107)</f>
        <v/>
      </c>
    </row>
    <row r="108">
      <c r="A108" t="n">
        <v>70</v>
      </c>
      <c r="B108" t="inlineStr">
        <is>
          <t>IDN</t>
        </is>
      </c>
      <c r="C108" t="inlineStr">
        <is>
          <t>Indonésie</t>
        </is>
      </c>
      <c r="D108">
        <f>CONCATENATE(B108, " - ",C108)</f>
        <v/>
      </c>
    </row>
    <row r="109">
      <c r="A109" t="n">
        <v>246</v>
      </c>
      <c r="B109" t="inlineStr">
        <is>
          <t>IMY</t>
        </is>
      </c>
      <c r="C109" t="inlineStr">
        <is>
          <t>ostrov Man</t>
        </is>
      </c>
      <c r="D109">
        <f>CONCATENATE(B109, " - ",C109)</f>
        <v/>
      </c>
    </row>
    <row r="110">
      <c r="A110" t="n">
        <v>197</v>
      </c>
      <c r="B110" t="inlineStr">
        <is>
          <t>IND</t>
        </is>
      </c>
      <c r="C110" t="inlineStr">
        <is>
          <t>Indie</t>
        </is>
      </c>
      <c r="D110">
        <f>CONCATENATE(B110, " - ",C110)</f>
        <v/>
      </c>
    </row>
    <row r="111">
      <c r="A111" t="n">
        <v>30</v>
      </c>
      <c r="B111" t="inlineStr">
        <is>
          <t>IOT</t>
        </is>
      </c>
      <c r="C111" t="inlineStr">
        <is>
          <t>Britské indickooceánské území</t>
        </is>
      </c>
      <c r="D111">
        <f>CONCATENATE(B111, " - ",C111)</f>
        <v/>
      </c>
    </row>
    <row r="112">
      <c r="A112" t="n">
        <v>73</v>
      </c>
      <c r="B112" t="inlineStr">
        <is>
          <t>IRL</t>
        </is>
      </c>
      <c r="C112" t="inlineStr">
        <is>
          <t>Irsko</t>
        </is>
      </c>
      <c r="D112">
        <f>CONCATENATE(B112, " - ",C112)</f>
        <v/>
      </c>
    </row>
    <row r="113">
      <c r="A113" t="n">
        <v>72</v>
      </c>
      <c r="B113" t="inlineStr">
        <is>
          <t>IRN</t>
        </is>
      </c>
      <c r="C113" t="inlineStr">
        <is>
          <t>Írán</t>
        </is>
      </c>
      <c r="D113">
        <f>CONCATENATE(B113, " - ",C113)</f>
        <v/>
      </c>
    </row>
    <row r="114">
      <c r="A114" t="n">
        <v>71</v>
      </c>
      <c r="B114" t="inlineStr">
        <is>
          <t>IRQ</t>
        </is>
      </c>
      <c r="C114" t="inlineStr">
        <is>
          <t>Irák</t>
        </is>
      </c>
      <c r="D114">
        <f>CONCATENATE(B114, " - ",C114)</f>
        <v/>
      </c>
    </row>
    <row r="115">
      <c r="A115" t="n">
        <v>74</v>
      </c>
      <c r="B115" t="inlineStr">
        <is>
          <t>ISL</t>
        </is>
      </c>
      <c r="C115" t="inlineStr">
        <is>
          <t>Island</t>
        </is>
      </c>
      <c r="D115">
        <f>CONCATENATE(B115, " - ",C115)</f>
        <v/>
      </c>
    </row>
    <row r="116">
      <c r="A116" t="n">
        <v>76</v>
      </c>
      <c r="B116" t="inlineStr">
        <is>
          <t>ISR</t>
        </is>
      </c>
      <c r="C116" t="inlineStr">
        <is>
          <t>Izrael</t>
        </is>
      </c>
      <c r="D116">
        <f>CONCATENATE(B116, " - ",C116)</f>
        <v/>
      </c>
    </row>
    <row r="117">
      <c r="A117" t="n">
        <v>75</v>
      </c>
      <c r="B117" t="inlineStr">
        <is>
          <t>ITA</t>
        </is>
      </c>
      <c r="C117" t="inlineStr">
        <is>
          <t>Itálie</t>
        </is>
      </c>
      <c r="D117">
        <f>CONCATENATE(B117, " - ",C117)</f>
        <v/>
      </c>
    </row>
    <row r="118">
      <c r="A118" t="n">
        <v>77</v>
      </c>
      <c r="B118" t="inlineStr">
        <is>
          <t>JAM</t>
        </is>
      </c>
      <c r="C118" t="inlineStr">
        <is>
          <t>Jamajka</t>
        </is>
      </c>
      <c r="D118">
        <f>CONCATENATE(B118, " - ",C118)</f>
        <v/>
      </c>
    </row>
    <row r="119">
      <c r="A119" t="n">
        <v>199</v>
      </c>
      <c r="B119" t="inlineStr">
        <is>
          <t>JOR</t>
        </is>
      </c>
      <c r="C119" t="inlineStr">
        <is>
          <t>Jordánsko</t>
        </is>
      </c>
      <c r="D119">
        <f>CONCATENATE(B119, " - ",C119)</f>
        <v/>
      </c>
    </row>
    <row r="120">
      <c r="A120" t="n">
        <v>198</v>
      </c>
      <c r="B120" t="inlineStr">
        <is>
          <t>JPN</t>
        </is>
      </c>
      <c r="C120" t="inlineStr">
        <is>
          <t>Japonsko</t>
        </is>
      </c>
      <c r="D120">
        <f>CONCATENATE(B120, " - ",C120)</f>
        <v/>
      </c>
    </row>
    <row r="121">
      <c r="A121" t="n">
        <v>87</v>
      </c>
      <c r="B121" t="inlineStr">
        <is>
          <t>KAZ</t>
        </is>
      </c>
      <c r="C121" t="inlineStr">
        <is>
          <t>Kazachstán</t>
        </is>
      </c>
      <c r="D121">
        <f>CONCATENATE(B121, " - ",C121)</f>
        <v/>
      </c>
    </row>
    <row r="122">
      <c r="A122" t="n">
        <v>88</v>
      </c>
      <c r="B122" t="inlineStr">
        <is>
          <t>KEN</t>
        </is>
      </c>
      <c r="C122" t="inlineStr">
        <is>
          <t>Keňa</t>
        </is>
      </c>
      <c r="D122">
        <f>CONCATENATE(B122, " - ",C122)</f>
        <v/>
      </c>
    </row>
    <row r="123">
      <c r="A123" t="n">
        <v>118</v>
      </c>
      <c r="B123" t="inlineStr">
        <is>
          <t>KGZ</t>
        </is>
      </c>
      <c r="C123" t="inlineStr">
        <is>
          <t>Kyrgyzstán</t>
        </is>
      </c>
      <c r="D123">
        <f>CONCATENATE(B123, " - ",C123)</f>
        <v/>
      </c>
    </row>
    <row r="124">
      <c r="A124" t="n">
        <v>83</v>
      </c>
      <c r="B124" t="inlineStr">
        <is>
          <t>KHM</t>
        </is>
      </c>
      <c r="C124" t="inlineStr">
        <is>
          <t>Kambodža</t>
        </is>
      </c>
      <c r="D124">
        <f>CONCATENATE(B124, " - ",C124)</f>
        <v/>
      </c>
    </row>
    <row r="125">
      <c r="A125" t="n">
        <v>89</v>
      </c>
      <c r="B125" t="inlineStr">
        <is>
          <t>KIR</t>
        </is>
      </c>
      <c r="C125" t="inlineStr">
        <is>
          <t>Kiribati</t>
        </is>
      </c>
      <c r="D125">
        <f>CONCATENATE(B125, " - ",C125)</f>
        <v/>
      </c>
    </row>
    <row r="126">
      <c r="A126" t="n">
        <v>207</v>
      </c>
      <c r="B126" t="inlineStr">
        <is>
          <t>KNA</t>
        </is>
      </c>
      <c r="C126" t="inlineStr">
        <is>
          <t>Svatý Kryštof a Nevis</t>
        </is>
      </c>
      <c r="D126">
        <f>CONCATENATE(B126, " - ",C126)</f>
        <v/>
      </c>
    </row>
    <row r="127">
      <c r="A127" t="n">
        <v>112</v>
      </c>
      <c r="B127" t="inlineStr">
        <is>
          <t>KOR</t>
        </is>
      </c>
      <c r="C127" t="inlineStr">
        <is>
          <t>Korea</t>
        </is>
      </c>
      <c r="D127">
        <f>CONCATENATE(B127, " - ",C127)</f>
        <v/>
      </c>
    </row>
    <row r="128">
      <c r="A128" t="n">
        <v>116</v>
      </c>
      <c r="B128" t="inlineStr">
        <is>
          <t>KWT</t>
        </is>
      </c>
      <c r="C128" t="inlineStr">
        <is>
          <t>Kuvajt</t>
        </is>
      </c>
      <c r="D128">
        <f>CONCATENATE(B128, " - ",C128)</f>
        <v/>
      </c>
    </row>
    <row r="129">
      <c r="A129" t="n">
        <v>119</v>
      </c>
      <c r="B129" t="inlineStr">
        <is>
          <t>LAO</t>
        </is>
      </c>
      <c r="C129" t="inlineStr">
        <is>
          <t>Laos</t>
        </is>
      </c>
      <c r="D129">
        <f>CONCATENATE(B129, " - ",C129)</f>
        <v/>
      </c>
    </row>
    <row r="130">
      <c r="A130" t="n">
        <v>121</v>
      </c>
      <c r="B130" t="inlineStr">
        <is>
          <t>LBN</t>
        </is>
      </c>
      <c r="C130" t="inlineStr">
        <is>
          <t>Libanon</t>
        </is>
      </c>
      <c r="D130">
        <f>CONCATENATE(B130, " - ",C130)</f>
        <v/>
      </c>
    </row>
    <row r="131">
      <c r="A131" t="n">
        <v>122</v>
      </c>
      <c r="B131" t="inlineStr">
        <is>
          <t>LBR</t>
        </is>
      </c>
      <c r="C131" t="inlineStr">
        <is>
          <t>Libérie</t>
        </is>
      </c>
      <c r="D131">
        <f>CONCATENATE(B131, " - ",C131)</f>
        <v/>
      </c>
    </row>
    <row r="132">
      <c r="A132" t="n">
        <v>123</v>
      </c>
      <c r="B132" t="inlineStr">
        <is>
          <t>LBY</t>
        </is>
      </c>
      <c r="C132" t="inlineStr">
        <is>
          <t>Libye</t>
        </is>
      </c>
      <c r="D132">
        <f>CONCATENATE(B132, " - ",C132)</f>
        <v/>
      </c>
    </row>
    <row r="133">
      <c r="A133" t="n">
        <v>103</v>
      </c>
      <c r="B133" t="inlineStr">
        <is>
          <t>LCA</t>
        </is>
      </c>
      <c r="C133" t="inlineStr">
        <is>
          <t>Svatá Lucie</t>
        </is>
      </c>
      <c r="D133">
        <f>CONCATENATE(B133, " - ",C133)</f>
        <v/>
      </c>
    </row>
    <row r="134">
      <c r="A134" t="n">
        <v>124</v>
      </c>
      <c r="B134" t="inlineStr">
        <is>
          <t>LIE</t>
        </is>
      </c>
      <c r="C134" t="inlineStr">
        <is>
          <t>Lichtenštejnsko</t>
        </is>
      </c>
      <c r="D134">
        <f>CONCATENATE(B134, " - ",C134)</f>
        <v/>
      </c>
    </row>
    <row r="135">
      <c r="A135" t="n">
        <v>191</v>
      </c>
      <c r="B135" t="inlineStr">
        <is>
          <t>LKA</t>
        </is>
      </c>
      <c r="C135" t="inlineStr">
        <is>
          <t>Srí Lanka</t>
        </is>
      </c>
      <c r="D135">
        <f>CONCATENATE(B135, " - ",C135)</f>
        <v/>
      </c>
    </row>
    <row r="136">
      <c r="A136" t="n">
        <v>120</v>
      </c>
      <c r="B136" t="inlineStr">
        <is>
          <t>LSO</t>
        </is>
      </c>
      <c r="C136" t="inlineStr">
        <is>
          <t>Lesotho</t>
        </is>
      </c>
      <c r="D136">
        <f>CONCATENATE(B136, " - ",C136)</f>
        <v/>
      </c>
    </row>
    <row r="137">
      <c r="A137" t="n">
        <v>125</v>
      </c>
      <c r="B137" t="inlineStr">
        <is>
          <t>LTU</t>
        </is>
      </c>
      <c r="C137" t="inlineStr">
        <is>
          <t>Litva</t>
        </is>
      </c>
      <c r="D137">
        <f>CONCATENATE(B137, " - ",C137)</f>
        <v/>
      </c>
    </row>
    <row r="138">
      <c r="A138" t="n">
        <v>126</v>
      </c>
      <c r="B138" t="inlineStr">
        <is>
          <t>LUX</t>
        </is>
      </c>
      <c r="C138" t="inlineStr">
        <is>
          <t>Lucembursko</t>
        </is>
      </c>
      <c r="D138">
        <f>CONCATENATE(B138, " - ",C138)</f>
        <v/>
      </c>
    </row>
    <row r="139">
      <c r="A139" t="n">
        <v>109</v>
      </c>
      <c r="B139" t="inlineStr">
        <is>
          <t>LVA</t>
        </is>
      </c>
      <c r="C139" t="inlineStr">
        <is>
          <t>Lotyšsko</t>
        </is>
      </c>
      <c r="D139">
        <f>CONCATENATE(B139, " - ",C139)</f>
        <v/>
      </c>
    </row>
    <row r="140">
      <c r="A140" t="n">
        <v>127</v>
      </c>
      <c r="B140" t="inlineStr">
        <is>
          <t>MAC</t>
        </is>
      </c>
      <c r="C140" t="inlineStr">
        <is>
          <t>Macao</t>
        </is>
      </c>
      <c r="D140">
        <f>CONCATENATE(B140, " - ",C140)</f>
        <v/>
      </c>
    </row>
    <row r="141">
      <c r="A141" t="n">
        <v>279</v>
      </c>
      <c r="B141" t="inlineStr">
        <is>
          <t>MAF</t>
        </is>
      </c>
      <c r="C141" t="inlineStr">
        <is>
          <t>Saint Martin</t>
        </is>
      </c>
      <c r="D141">
        <f>CONCATENATE(B141, " - ",C141)</f>
        <v/>
      </c>
    </row>
    <row r="142">
      <c r="A142" t="n">
        <v>136</v>
      </c>
      <c r="B142" t="inlineStr">
        <is>
          <t>MAR</t>
        </is>
      </c>
      <c r="C142" t="inlineStr">
        <is>
          <t>Maroko</t>
        </is>
      </c>
      <c r="D142">
        <f>CONCATENATE(B142, " - ",C142)</f>
        <v/>
      </c>
    </row>
    <row r="143">
      <c r="A143" t="n">
        <v>94</v>
      </c>
      <c r="B143" t="inlineStr">
        <is>
          <t>MCO</t>
        </is>
      </c>
      <c r="C143" t="inlineStr">
        <is>
          <t>Monako</t>
        </is>
      </c>
      <c r="D143">
        <f>CONCATENATE(B143, " - ",C143)</f>
        <v/>
      </c>
    </row>
    <row r="144">
      <c r="A144" t="n">
        <v>145</v>
      </c>
      <c r="B144" t="inlineStr">
        <is>
          <t>MDA</t>
        </is>
      </c>
      <c r="C144" t="inlineStr">
        <is>
          <t>Moldavsko</t>
        </is>
      </c>
      <c r="D144">
        <f>CONCATENATE(B144, " - ",C144)</f>
        <v/>
      </c>
    </row>
    <row r="145">
      <c r="A145" t="n">
        <v>128</v>
      </c>
      <c r="B145" t="inlineStr">
        <is>
          <t>MDG</t>
        </is>
      </c>
      <c r="C145" t="inlineStr">
        <is>
          <t>Madagaskar</t>
        </is>
      </c>
      <c r="D145">
        <f>CONCATENATE(B145, " - ",C145)</f>
        <v/>
      </c>
    </row>
    <row r="146">
      <c r="A146" t="n">
        <v>133</v>
      </c>
      <c r="B146" t="inlineStr">
        <is>
          <t>MDV</t>
        </is>
      </c>
      <c r="C146" t="inlineStr">
        <is>
          <t>Maledivy</t>
        </is>
      </c>
      <c r="D146">
        <f>CONCATENATE(B146, " - ",C146)</f>
        <v/>
      </c>
    </row>
    <row r="147">
      <c r="A147" t="n">
        <v>143</v>
      </c>
      <c r="B147" t="inlineStr">
        <is>
          <t>MEX</t>
        </is>
      </c>
      <c r="C147" t="inlineStr">
        <is>
          <t>Mexiko</t>
        </is>
      </c>
      <c r="D147">
        <f>CONCATENATE(B147, " - ",C147)</f>
        <v/>
      </c>
    </row>
    <row r="148">
      <c r="A148" t="n">
        <v>137</v>
      </c>
      <c r="B148" t="inlineStr">
        <is>
          <t>MHL</t>
        </is>
      </c>
      <c r="C148" t="inlineStr">
        <is>
          <t>Marshallovy ostrovy</t>
        </is>
      </c>
      <c r="D148">
        <f>CONCATENATE(B148, " - ",C148)</f>
        <v/>
      </c>
    </row>
    <row r="149">
      <c r="A149" t="n">
        <v>130</v>
      </c>
      <c r="B149" t="inlineStr">
        <is>
          <t>MKD</t>
        </is>
      </c>
      <c r="C149" t="inlineStr">
        <is>
          <t>Makedonie</t>
        </is>
      </c>
      <c r="D149">
        <f>CONCATENATE(B149, " - ",C149)</f>
        <v/>
      </c>
    </row>
    <row r="150">
      <c r="A150" t="n">
        <v>134</v>
      </c>
      <c r="B150" t="inlineStr">
        <is>
          <t>MLI</t>
        </is>
      </c>
      <c r="C150" t="inlineStr">
        <is>
          <t>Mali</t>
        </is>
      </c>
      <c r="D150">
        <f>CONCATENATE(B150, " - ",C150)</f>
        <v/>
      </c>
    </row>
    <row r="151">
      <c r="A151" t="n">
        <v>135</v>
      </c>
      <c r="B151" t="inlineStr">
        <is>
          <t>MLT</t>
        </is>
      </c>
      <c r="C151" t="inlineStr">
        <is>
          <t>Malta</t>
        </is>
      </c>
      <c r="D151">
        <f>CONCATENATE(B151, " - ",C151)</f>
        <v/>
      </c>
    </row>
    <row r="152">
      <c r="A152" t="n">
        <v>273</v>
      </c>
      <c r="B152" t="inlineStr">
        <is>
          <t>MMR</t>
        </is>
      </c>
      <c r="C152" t="inlineStr">
        <is>
          <t>Myanmar</t>
        </is>
      </c>
      <c r="D152">
        <f>CONCATENATE(B152, " - ",C152)</f>
        <v/>
      </c>
    </row>
    <row r="153">
      <c r="A153" t="n">
        <v>149</v>
      </c>
      <c r="B153" t="inlineStr">
        <is>
          <t>MNE</t>
        </is>
      </c>
      <c r="C153" t="inlineStr">
        <is>
          <t>Černá Hora</t>
        </is>
      </c>
      <c r="D153">
        <f>CONCATENATE(B153, " - ",C153)</f>
        <v/>
      </c>
    </row>
    <row r="154">
      <c r="A154" t="n">
        <v>146</v>
      </c>
      <c r="B154" t="inlineStr">
        <is>
          <t>MNG</t>
        </is>
      </c>
      <c r="C154" t="inlineStr">
        <is>
          <t>Mongolsko</t>
        </is>
      </c>
      <c r="D154">
        <f>CONCATENATE(B154, " - ",C154)</f>
        <v/>
      </c>
    </row>
    <row r="155">
      <c r="A155" t="n">
        <v>183</v>
      </c>
      <c r="B155" t="inlineStr">
        <is>
          <t>MNP</t>
        </is>
      </c>
      <c r="C155" t="inlineStr">
        <is>
          <t>Severní Mariany</t>
        </is>
      </c>
      <c r="D155">
        <f>CONCATENATE(B155, " - ",C155)</f>
        <v/>
      </c>
    </row>
    <row r="156">
      <c r="A156" t="n">
        <v>148</v>
      </c>
      <c r="B156" t="inlineStr">
        <is>
          <t>MOZ</t>
        </is>
      </c>
      <c r="C156" t="inlineStr">
        <is>
          <t>Mosambik</t>
        </is>
      </c>
      <c r="D156">
        <f>CONCATENATE(B156, " - ",C156)</f>
        <v/>
      </c>
    </row>
    <row r="157">
      <c r="A157" t="n">
        <v>139</v>
      </c>
      <c r="B157" t="inlineStr">
        <is>
          <t>MRT</t>
        </is>
      </c>
      <c r="C157" t="inlineStr">
        <is>
          <t>Mauritánie</t>
        </is>
      </c>
      <c r="D157">
        <f>CONCATENATE(B157, " - ",C157)</f>
        <v/>
      </c>
    </row>
    <row r="158">
      <c r="A158" t="n">
        <v>147</v>
      </c>
      <c r="B158" t="inlineStr">
        <is>
          <t>MSR</t>
        </is>
      </c>
      <c r="C158" t="inlineStr">
        <is>
          <t>Montserrat</t>
        </is>
      </c>
      <c r="D158">
        <f>CONCATENATE(B158, " - ",C158)</f>
        <v/>
      </c>
    </row>
    <row r="159">
      <c r="A159" t="n">
        <v>256</v>
      </c>
      <c r="B159" t="inlineStr">
        <is>
          <t>MTQ</t>
        </is>
      </c>
      <c r="C159" t="inlineStr">
        <is>
          <t>Martinik</t>
        </is>
      </c>
      <c r="D159">
        <f>CONCATENATE(B159, " - ",C159)</f>
        <v/>
      </c>
    </row>
    <row r="160">
      <c r="A160" t="n">
        <v>138</v>
      </c>
      <c r="B160" t="inlineStr">
        <is>
          <t>MUS</t>
        </is>
      </c>
      <c r="C160" t="inlineStr">
        <is>
          <t>Mauricius</t>
        </is>
      </c>
      <c r="D160">
        <f>CONCATENATE(B160, " - ",C160)</f>
        <v/>
      </c>
    </row>
    <row r="161">
      <c r="A161" t="n">
        <v>132</v>
      </c>
      <c r="B161" t="inlineStr">
        <is>
          <t>MWI</t>
        </is>
      </c>
      <c r="C161" t="inlineStr">
        <is>
          <t>Malawi</t>
        </is>
      </c>
      <c r="D161">
        <f>CONCATENATE(B161, " - ",C161)</f>
        <v/>
      </c>
    </row>
    <row r="162">
      <c r="A162" t="n">
        <v>131</v>
      </c>
      <c r="B162" t="inlineStr">
        <is>
          <t>MYS</t>
        </is>
      </c>
      <c r="C162" t="inlineStr">
        <is>
          <t>Malajsie</t>
        </is>
      </c>
      <c r="D162">
        <f>CONCATENATE(B162, " - ",C162)</f>
        <v/>
      </c>
    </row>
    <row r="163">
      <c r="A163" t="n">
        <v>140</v>
      </c>
      <c r="B163" t="inlineStr">
        <is>
          <t>MYT</t>
        </is>
      </c>
      <c r="C163" t="inlineStr">
        <is>
          <t>Mayotte</t>
        </is>
      </c>
      <c r="D163">
        <f>CONCATENATE(B163, " - ",C163)</f>
        <v/>
      </c>
    </row>
    <row r="164">
      <c r="A164" t="n">
        <v>150</v>
      </c>
      <c r="B164" t="inlineStr">
        <is>
          <t>NAM</t>
        </is>
      </c>
      <c r="C164" t="inlineStr">
        <is>
          <t>Namibie</t>
        </is>
      </c>
      <c r="D164">
        <f>CONCATENATE(B164, " - ",C164)</f>
        <v/>
      </c>
    </row>
    <row r="165">
      <c r="A165" t="n">
        <v>160</v>
      </c>
      <c r="B165" t="inlineStr">
        <is>
          <t>NCL</t>
        </is>
      </c>
      <c r="C165" t="inlineStr">
        <is>
          <t>Nová Kaledonie</t>
        </is>
      </c>
      <c r="D165">
        <f>CONCATENATE(B165, " - ",C165)</f>
        <v/>
      </c>
    </row>
    <row r="166">
      <c r="A166" t="n">
        <v>154</v>
      </c>
      <c r="B166" t="inlineStr">
        <is>
          <t>NER</t>
        </is>
      </c>
      <c r="C166" t="inlineStr">
        <is>
          <t>Niger</t>
        </is>
      </c>
      <c r="D166">
        <f>CONCATENATE(B166, " - ",C166)</f>
        <v/>
      </c>
    </row>
    <row r="167">
      <c r="A167" t="n">
        <v>110</v>
      </c>
      <c r="B167" t="inlineStr">
        <is>
          <t>NFK</t>
        </is>
      </c>
      <c r="C167" t="inlineStr">
        <is>
          <t>Norfolk</t>
        </is>
      </c>
      <c r="D167">
        <f>CONCATENATE(B167, " - ",C167)</f>
        <v/>
      </c>
    </row>
    <row r="168">
      <c r="A168" t="n">
        <v>155</v>
      </c>
      <c r="B168" t="inlineStr">
        <is>
          <t>NGA</t>
        </is>
      </c>
      <c r="C168" t="inlineStr">
        <is>
          <t>Nigérie</t>
        </is>
      </c>
      <c r="D168">
        <f>CONCATENATE(B168, " - ",C168)</f>
        <v/>
      </c>
    </row>
    <row r="169">
      <c r="A169" t="n">
        <v>156</v>
      </c>
      <c r="B169" t="inlineStr">
        <is>
          <t>NIC</t>
        </is>
      </c>
      <c r="C169" t="inlineStr">
        <is>
          <t>Nikaragua</t>
        </is>
      </c>
      <c r="D169">
        <f>CONCATENATE(B169, " - ",C169)</f>
        <v/>
      </c>
    </row>
    <row r="170">
      <c r="A170" t="n">
        <v>157</v>
      </c>
      <c r="B170" t="inlineStr">
        <is>
          <t>NIU</t>
        </is>
      </c>
      <c r="C170" t="inlineStr">
        <is>
          <t>Niue</t>
        </is>
      </c>
      <c r="D170">
        <f>CONCATENATE(B170, " - ",C170)</f>
        <v/>
      </c>
    </row>
    <row r="171">
      <c r="A171" t="n">
        <v>158</v>
      </c>
      <c r="B171" t="inlineStr">
        <is>
          <t>NLD</t>
        </is>
      </c>
      <c r="C171" t="inlineStr">
        <is>
          <t>Nizozemsko</t>
        </is>
      </c>
      <c r="D171">
        <f>CONCATENATE(B171, " - ",C171)</f>
        <v/>
      </c>
    </row>
    <row r="172">
      <c r="A172" t="n">
        <v>159</v>
      </c>
      <c r="B172" t="inlineStr">
        <is>
          <t>NOR</t>
        </is>
      </c>
      <c r="C172" t="inlineStr">
        <is>
          <t>Norsko</t>
        </is>
      </c>
      <c r="D172">
        <f>CONCATENATE(B172, " - ",C172)</f>
        <v/>
      </c>
    </row>
    <row r="173">
      <c r="A173" t="n">
        <v>153</v>
      </c>
      <c r="B173" t="inlineStr">
        <is>
          <t>NPL</t>
        </is>
      </c>
      <c r="C173" t="inlineStr">
        <is>
          <t>Nepál</t>
        </is>
      </c>
      <c r="D173">
        <f>CONCATENATE(B173, " - ",C173)</f>
        <v/>
      </c>
    </row>
    <row r="174">
      <c r="A174" t="n">
        <v>151</v>
      </c>
      <c r="B174" t="inlineStr">
        <is>
          <t>NRU</t>
        </is>
      </c>
      <c r="C174" t="inlineStr">
        <is>
          <t>Nauru</t>
        </is>
      </c>
      <c r="D174">
        <f>CONCATENATE(B174, " - ",C174)</f>
        <v/>
      </c>
    </row>
    <row r="175">
      <c r="A175" t="n">
        <v>247</v>
      </c>
      <c r="B175" t="inlineStr">
        <is>
          <t>NTZ</t>
        </is>
      </c>
      <c r="C175" t="inlineStr">
        <is>
          <t>neutrální zóna</t>
        </is>
      </c>
      <c r="D175">
        <f>CONCATENATE(B175, " - ",C175)</f>
        <v/>
      </c>
    </row>
    <row r="176">
      <c r="A176" t="n">
        <v>161</v>
      </c>
      <c r="B176" t="inlineStr">
        <is>
          <t>NZL</t>
        </is>
      </c>
      <c r="C176" t="inlineStr">
        <is>
          <t>Nový Zéland</t>
        </is>
      </c>
      <c r="D176">
        <f>CONCATENATE(B176, " - ",C176)</f>
        <v/>
      </c>
    </row>
    <row r="177">
      <c r="A177" t="n">
        <v>163</v>
      </c>
      <c r="B177" t="inlineStr">
        <is>
          <t>OMN</t>
        </is>
      </c>
      <c r="C177" t="inlineStr">
        <is>
          <t>Omán</t>
        </is>
      </c>
      <c r="D177">
        <f>CONCATENATE(B177, " - ",C177)</f>
        <v/>
      </c>
    </row>
    <row r="178">
      <c r="A178" t="n">
        <v>164</v>
      </c>
      <c r="B178" t="inlineStr">
        <is>
          <t>PAK</t>
        </is>
      </c>
      <c r="C178" t="inlineStr">
        <is>
          <t>Pákistán</t>
        </is>
      </c>
      <c r="D178">
        <f>CONCATENATE(B178, " - ",C178)</f>
        <v/>
      </c>
    </row>
    <row r="179">
      <c r="A179" t="n">
        <v>166</v>
      </c>
      <c r="B179" t="inlineStr">
        <is>
          <t>PAN</t>
        </is>
      </c>
      <c r="C179" t="inlineStr">
        <is>
          <t>Panama</t>
        </is>
      </c>
      <c r="D179">
        <f>CONCATENATE(B179, " - ",C179)</f>
        <v/>
      </c>
    </row>
    <row r="180">
      <c r="A180" t="n">
        <v>248</v>
      </c>
      <c r="B180" t="inlineStr">
        <is>
          <t>PCI</t>
        </is>
      </c>
      <c r="C180" t="inlineStr">
        <is>
          <t>Tichomořské ostrovy</t>
        </is>
      </c>
      <c r="D180">
        <f>CONCATENATE(B180, " - ",C180)</f>
        <v/>
      </c>
    </row>
    <row r="181">
      <c r="A181" t="n">
        <v>169</v>
      </c>
      <c r="B181" t="inlineStr">
        <is>
          <t>PCN</t>
        </is>
      </c>
      <c r="C181" t="inlineStr">
        <is>
          <t>Pitcairn</t>
        </is>
      </c>
      <c r="D181">
        <f>CONCATENATE(B181, " - ",C181)</f>
        <v/>
      </c>
    </row>
    <row r="182">
      <c r="A182" t="n">
        <v>168</v>
      </c>
      <c r="B182" t="inlineStr">
        <is>
          <t>PER</t>
        </is>
      </c>
      <c r="C182" t="inlineStr">
        <is>
          <t>Peru</t>
        </is>
      </c>
      <c r="D182">
        <f>CONCATENATE(B182, " - ",C182)</f>
        <v/>
      </c>
    </row>
    <row r="183">
      <c r="A183" t="n">
        <v>51</v>
      </c>
      <c r="B183" t="inlineStr">
        <is>
          <t>PHL</t>
        </is>
      </c>
      <c r="C183" t="inlineStr">
        <is>
          <t>Filipíny</t>
        </is>
      </c>
      <c r="D183">
        <f>CONCATENATE(B183, " - ",C183)</f>
        <v/>
      </c>
    </row>
    <row r="184">
      <c r="A184" t="n">
        <v>165</v>
      </c>
      <c r="B184" t="inlineStr">
        <is>
          <t>PLW</t>
        </is>
      </c>
      <c r="C184" t="inlineStr">
        <is>
          <t>Palau</t>
        </is>
      </c>
      <c r="D184">
        <f>CONCATENATE(B184, " - ",C184)</f>
        <v/>
      </c>
    </row>
    <row r="185">
      <c r="A185" t="n">
        <v>202</v>
      </c>
      <c r="B185" t="inlineStr">
        <is>
          <t>PNG</t>
        </is>
      </c>
      <c r="C185" t="inlineStr">
        <is>
          <t>Papua Nová Guinea</t>
        </is>
      </c>
      <c r="D185">
        <f>CONCATENATE(B185, " - ",C185)</f>
        <v/>
      </c>
    </row>
    <row r="186">
      <c r="A186" t="n">
        <v>171</v>
      </c>
      <c r="B186" t="inlineStr">
        <is>
          <t>POL</t>
        </is>
      </c>
      <c r="C186" t="inlineStr">
        <is>
          <t>Polsko</t>
        </is>
      </c>
      <c r="D186">
        <f>CONCATENATE(B186, " - ",C186)</f>
        <v/>
      </c>
    </row>
    <row r="187">
      <c r="A187" t="n">
        <v>257</v>
      </c>
      <c r="B187" t="inlineStr">
        <is>
          <t>PRI</t>
        </is>
      </c>
      <c r="C187" t="inlineStr">
        <is>
          <t>Portoriko</t>
        </is>
      </c>
      <c r="D187">
        <f>CONCATENATE(B187, " - ",C187)</f>
        <v/>
      </c>
    </row>
    <row r="188">
      <c r="A188" t="n">
        <v>113</v>
      </c>
      <c r="B188" t="inlineStr">
        <is>
          <t>PRK</t>
        </is>
      </c>
      <c r="C188" t="inlineStr">
        <is>
          <t>Korea, lidově demokratická republika</t>
        </is>
      </c>
      <c r="D188">
        <f>CONCATENATE(B188, " - ",C188)</f>
        <v/>
      </c>
    </row>
    <row r="189">
      <c r="A189" t="n">
        <v>172</v>
      </c>
      <c r="B189" t="inlineStr">
        <is>
          <t>PRT</t>
        </is>
      </c>
      <c r="C189" t="inlineStr">
        <is>
          <t>Portugalsko</t>
        </is>
      </c>
      <c r="D189">
        <f>CONCATENATE(B189, " - ",C189)</f>
        <v/>
      </c>
    </row>
    <row r="190">
      <c r="A190" t="n">
        <v>167</v>
      </c>
      <c r="B190" t="inlineStr">
        <is>
          <t>PRY</t>
        </is>
      </c>
      <c r="C190" t="inlineStr">
        <is>
          <t>Paraguay</t>
        </is>
      </c>
      <c r="D190">
        <f>CONCATENATE(B190, " - ",C190)</f>
        <v/>
      </c>
    </row>
    <row r="191">
      <c r="A191" t="n">
        <v>255</v>
      </c>
      <c r="B191" t="inlineStr">
        <is>
          <t>PSE</t>
        </is>
      </c>
      <c r="C191" t="inlineStr">
        <is>
          <t>Palestina</t>
        </is>
      </c>
      <c r="D191">
        <f>CONCATENATE(B191, " - ",C191)</f>
        <v/>
      </c>
    </row>
    <row r="192">
      <c r="A192" t="n">
        <v>249</v>
      </c>
      <c r="B192" t="inlineStr">
        <is>
          <t>PUS</t>
        </is>
      </c>
      <c r="C192" t="inlineStr">
        <is>
          <t>ostrovy USA v Tichém oceánu</t>
        </is>
      </c>
      <c r="D192">
        <f>CONCATENATE(B192, " - ",C192)</f>
        <v/>
      </c>
    </row>
    <row r="193">
      <c r="A193" t="n">
        <v>54</v>
      </c>
      <c r="B193" t="inlineStr">
        <is>
          <t>PYF</t>
        </is>
      </c>
      <c r="C193" t="inlineStr">
        <is>
          <t>Francouzská Polynésie</t>
        </is>
      </c>
      <c r="D193">
        <f>CONCATENATE(B193, " - ",C193)</f>
        <v/>
      </c>
    </row>
    <row r="194">
      <c r="A194" t="n">
        <v>108</v>
      </c>
      <c r="B194" t="inlineStr">
        <is>
          <t>QAT</t>
        </is>
      </c>
      <c r="C194" t="inlineStr">
        <is>
          <t>Katar</t>
        </is>
      </c>
      <c r="D194">
        <f>CONCATENATE(B194, " - ",C194)</f>
        <v/>
      </c>
    </row>
    <row r="195">
      <c r="A195" t="n">
        <v>95</v>
      </c>
      <c r="B195" t="inlineStr">
        <is>
          <t>REU</t>
        </is>
      </c>
      <c r="C195" t="inlineStr">
        <is>
          <t>Reunion</t>
        </is>
      </c>
      <c r="D195">
        <f>CONCATENATE(B195, " - ",C195)</f>
        <v/>
      </c>
    </row>
    <row r="196">
      <c r="A196" t="n">
        <v>274</v>
      </c>
      <c r="B196" t="inlineStr">
        <is>
          <t>RKS</t>
        </is>
      </c>
      <c r="C196" t="inlineStr">
        <is>
          <t>Republika Kosovo</t>
        </is>
      </c>
      <c r="D196">
        <f>CONCATENATE(B196, " - ",C196)</f>
        <v/>
      </c>
    </row>
    <row r="197">
      <c r="A197" t="n">
        <v>175</v>
      </c>
      <c r="B197" t="inlineStr">
        <is>
          <t>ROU</t>
        </is>
      </c>
      <c r="C197" t="inlineStr">
        <is>
          <t>Rumunsko</t>
        </is>
      </c>
      <c r="D197">
        <f>CONCATENATE(B197, " - ",C197)</f>
        <v/>
      </c>
    </row>
    <row r="198">
      <c r="A198" t="n">
        <v>203</v>
      </c>
      <c r="B198" t="inlineStr">
        <is>
          <t>RUS</t>
        </is>
      </c>
      <c r="C198" t="inlineStr">
        <is>
          <t>Rusko</t>
        </is>
      </c>
      <c r="D198">
        <f>CONCATENATE(B198, " - ",C198)</f>
        <v/>
      </c>
    </row>
    <row r="199">
      <c r="A199" t="n">
        <v>176</v>
      </c>
      <c r="B199" t="inlineStr">
        <is>
          <t>RWA</t>
        </is>
      </c>
      <c r="C199" t="inlineStr">
        <is>
          <t>Rwanda</t>
        </is>
      </c>
      <c r="D199">
        <f>CONCATENATE(B199, " - ",C199)</f>
        <v/>
      </c>
    </row>
    <row r="200">
      <c r="A200" t="n">
        <v>204</v>
      </c>
      <c r="B200" t="inlineStr">
        <is>
          <t>SAU</t>
        </is>
      </c>
      <c r="C200" t="inlineStr">
        <is>
          <t>Saúdská Arábie</t>
        </is>
      </c>
      <c r="D200">
        <f>CONCATENATE(B200, " - ",C200)</f>
        <v/>
      </c>
    </row>
    <row r="201">
      <c r="A201" t="n">
        <v>271</v>
      </c>
      <c r="B201" t="inlineStr">
        <is>
          <t>SCG</t>
        </is>
      </c>
      <c r="C201" t="inlineStr">
        <is>
          <t>Srbsko a Černá Hora</t>
        </is>
      </c>
      <c r="D201">
        <f>CONCATENATE(B201, " - ",C201)</f>
        <v/>
      </c>
    </row>
    <row r="202">
      <c r="A202" t="n">
        <v>100</v>
      </c>
      <c r="B202" t="inlineStr">
        <is>
          <t>SDN</t>
        </is>
      </c>
      <c r="C202" t="inlineStr">
        <is>
          <t>Súdán</t>
        </is>
      </c>
      <c r="D202">
        <f>CONCATENATE(B202, " - ",C202)</f>
        <v/>
      </c>
    </row>
    <row r="203">
      <c r="A203" t="n">
        <v>182</v>
      </c>
      <c r="B203" t="inlineStr">
        <is>
          <t>SEN</t>
        </is>
      </c>
      <c r="C203" t="inlineStr">
        <is>
          <t>Senegal</t>
        </is>
      </c>
      <c r="D203">
        <f>CONCATENATE(B203, " - ",C203)</f>
        <v/>
      </c>
    </row>
    <row r="204">
      <c r="A204" t="n">
        <v>186</v>
      </c>
      <c r="B204" t="inlineStr">
        <is>
          <t>SGP</t>
        </is>
      </c>
      <c r="C204" t="inlineStr">
        <is>
          <t>Singapur</t>
        </is>
      </c>
      <c r="D204">
        <f>CONCATENATE(B204, " - ",C204)</f>
        <v/>
      </c>
    </row>
    <row r="205">
      <c r="A205" t="n">
        <v>80</v>
      </c>
      <c r="B205" t="inlineStr">
        <is>
          <t>SGS</t>
        </is>
      </c>
      <c r="C205" t="inlineStr">
        <is>
          <t>Jižní Georgie a Jižní Sandwichovy ostrovy</t>
        </is>
      </c>
      <c r="D205">
        <f>CONCATENATE(B205, " - ",C205)</f>
        <v/>
      </c>
    </row>
    <row r="206">
      <c r="A206" t="n">
        <v>102</v>
      </c>
      <c r="B206" t="inlineStr">
        <is>
          <t>SHN</t>
        </is>
      </c>
      <c r="C206" t="inlineStr">
        <is>
          <t>Svatá Helena</t>
        </is>
      </c>
      <c r="D206">
        <f>CONCATENATE(B206, " - ",C206)</f>
        <v/>
      </c>
    </row>
    <row r="207">
      <c r="A207" t="n">
        <v>258</v>
      </c>
      <c r="B207" t="inlineStr">
        <is>
          <t>SJM</t>
        </is>
      </c>
      <c r="C207" t="inlineStr">
        <is>
          <t>Svalbard and Jan Mayen Islands</t>
        </is>
      </c>
      <c r="D207">
        <f>CONCATENATE(B207, " - ",C207)</f>
        <v/>
      </c>
    </row>
    <row r="208">
      <c r="A208" t="n">
        <v>213</v>
      </c>
      <c r="B208" t="inlineStr">
        <is>
          <t>SLB</t>
        </is>
      </c>
      <c r="C208" t="inlineStr">
        <is>
          <t>Šalamounovy ostrovy</t>
        </is>
      </c>
      <c r="D208">
        <f>CONCATENATE(B208, " - ",C208)</f>
        <v/>
      </c>
    </row>
    <row r="209">
      <c r="A209" t="n">
        <v>185</v>
      </c>
      <c r="B209" t="inlineStr">
        <is>
          <t>SLE</t>
        </is>
      </c>
      <c r="C209" t="inlineStr">
        <is>
          <t>Sierra Leone</t>
        </is>
      </c>
      <c r="D209">
        <f>CONCATENATE(B209, " - ",C209)</f>
        <v/>
      </c>
    </row>
    <row r="210">
      <c r="A210" t="n">
        <v>179</v>
      </c>
      <c r="B210" t="inlineStr">
        <is>
          <t>SLV</t>
        </is>
      </c>
      <c r="C210" t="inlineStr">
        <is>
          <t>Salvador</t>
        </is>
      </c>
      <c r="D210">
        <f>CONCATENATE(B210, " - ",C210)</f>
        <v/>
      </c>
    </row>
    <row r="211">
      <c r="A211" t="n">
        <v>181</v>
      </c>
      <c r="B211" t="inlineStr">
        <is>
          <t>SMR</t>
        </is>
      </c>
      <c r="C211" t="inlineStr">
        <is>
          <t>San Marino</t>
        </is>
      </c>
      <c r="D211">
        <f>CONCATENATE(B211, " - ",C211)</f>
        <v/>
      </c>
    </row>
    <row r="212">
      <c r="A212" t="n">
        <v>270</v>
      </c>
      <c r="B212" t="inlineStr">
        <is>
          <t>SNS</t>
        </is>
      </c>
      <c r="C212" t="inlineStr">
        <is>
          <t>Spol. nezávisl.st.</t>
        </is>
      </c>
      <c r="D212">
        <f>CONCATENATE(B212, " - ",C212)</f>
        <v/>
      </c>
    </row>
    <row r="213">
      <c r="A213" t="n">
        <v>111</v>
      </c>
      <c r="B213" t="inlineStr">
        <is>
          <t>SOM</t>
        </is>
      </c>
      <c r="C213" t="inlineStr">
        <is>
          <t>Somálsko</t>
        </is>
      </c>
      <c r="D213">
        <f>CONCATENATE(B213, " - ",C213)</f>
        <v/>
      </c>
    </row>
    <row r="214">
      <c r="A214" t="n">
        <v>178</v>
      </c>
      <c r="B214" t="inlineStr">
        <is>
          <t>SPM</t>
        </is>
      </c>
      <c r="C214" t="inlineStr">
        <is>
          <t>Saint Pierre a Miquelon</t>
        </is>
      </c>
      <c r="D214">
        <f>CONCATENATE(B214, " - ",C214)</f>
        <v/>
      </c>
    </row>
    <row r="215">
      <c r="A215" t="n">
        <v>275</v>
      </c>
      <c r="B215" t="inlineStr">
        <is>
          <t>SRB</t>
        </is>
      </c>
      <c r="C215" t="inlineStr">
        <is>
          <t>Srbsko</t>
        </is>
      </c>
      <c r="D215">
        <f>CONCATENATE(B215, " - ",C215)</f>
        <v/>
      </c>
    </row>
    <row r="216">
      <c r="A216" t="n">
        <v>276</v>
      </c>
      <c r="B216" t="inlineStr">
        <is>
          <t>SSD</t>
        </is>
      </c>
      <c r="C216" t="inlineStr">
        <is>
          <t>Jižní Súdán</t>
        </is>
      </c>
      <c r="D216">
        <f>CONCATENATE(B216, " - ",C216)</f>
        <v/>
      </c>
    </row>
    <row r="217">
      <c r="A217" t="n">
        <v>209</v>
      </c>
      <c r="B217" t="inlineStr">
        <is>
          <t>STP</t>
        </is>
      </c>
      <c r="C217" t="inlineStr">
        <is>
          <t>Svatý Tomáš</t>
        </is>
      </c>
      <c r="D217">
        <f>CONCATENATE(B217, " - ",C217)</f>
        <v/>
      </c>
    </row>
    <row r="218">
      <c r="A218" t="n">
        <v>101</v>
      </c>
      <c r="B218" t="inlineStr">
        <is>
          <t>SUR</t>
        </is>
      </c>
      <c r="C218" t="inlineStr">
        <is>
          <t>Surinam</t>
        </is>
      </c>
      <c r="D218">
        <f>CONCATENATE(B218, " - ",C218)</f>
        <v/>
      </c>
    </row>
    <row r="219">
      <c r="A219" t="n">
        <v>187</v>
      </c>
      <c r="B219" t="inlineStr">
        <is>
          <t>SVK</t>
        </is>
      </c>
      <c r="C219" t="inlineStr">
        <is>
          <t>Slovensko</t>
        </is>
      </c>
      <c r="D219">
        <f>CONCATENATE(B219, " - ",C219)</f>
        <v/>
      </c>
    </row>
    <row r="220">
      <c r="A220" t="n">
        <v>188</v>
      </c>
      <c r="B220" t="inlineStr">
        <is>
          <t>SVN</t>
        </is>
      </c>
      <c r="C220" t="inlineStr">
        <is>
          <t>Slovinsko</t>
        </is>
      </c>
      <c r="D220">
        <f>CONCATENATE(B220, " - ",C220)</f>
        <v/>
      </c>
    </row>
    <row r="221">
      <c r="A221" t="n">
        <v>215</v>
      </c>
      <c r="B221" t="inlineStr">
        <is>
          <t>SWE</t>
        </is>
      </c>
      <c r="C221" t="inlineStr">
        <is>
          <t>Švédsko</t>
        </is>
      </c>
      <c r="D221">
        <f>CONCATENATE(B221, " - ",C221)</f>
        <v/>
      </c>
    </row>
    <row r="222">
      <c r="A222" t="n">
        <v>211</v>
      </c>
      <c r="B222" t="inlineStr">
        <is>
          <t>SWZ</t>
        </is>
      </c>
      <c r="C222" t="inlineStr">
        <is>
          <t>Svazijsko</t>
        </is>
      </c>
      <c r="D222">
        <f>CONCATENATE(B222, " - ",C222)</f>
        <v/>
      </c>
    </row>
    <row r="223">
      <c r="A223" t="n">
        <v>282</v>
      </c>
      <c r="B223" t="inlineStr">
        <is>
          <t>SXM</t>
        </is>
      </c>
      <c r="C223" t="inlineStr">
        <is>
          <t>Sint Maarten (Dutch part)</t>
        </is>
      </c>
      <c r="D223">
        <f>CONCATENATE(B223, " - ",C223)</f>
        <v/>
      </c>
    </row>
    <row r="224">
      <c r="A224" t="n">
        <v>184</v>
      </c>
      <c r="B224" t="inlineStr">
        <is>
          <t>SYC</t>
        </is>
      </c>
      <c r="C224" t="inlineStr">
        <is>
          <t>Seychely</t>
        </is>
      </c>
      <c r="D224">
        <f>CONCATENATE(B224, " - ",C224)</f>
        <v/>
      </c>
    </row>
    <row r="225">
      <c r="A225" t="n">
        <v>212</v>
      </c>
      <c r="B225" t="inlineStr">
        <is>
          <t>SYR</t>
        </is>
      </c>
      <c r="C225" t="inlineStr">
        <is>
          <t>Sýrie</t>
        </is>
      </c>
      <c r="D225">
        <f>CONCATENATE(B225, " - ",C225)</f>
        <v/>
      </c>
    </row>
    <row r="226">
      <c r="A226" t="n">
        <v>228</v>
      </c>
      <c r="B226" t="inlineStr">
        <is>
          <t>TCA</t>
        </is>
      </c>
      <c r="C226" t="inlineStr">
        <is>
          <t>Turks a Caicos</t>
        </is>
      </c>
      <c r="D226">
        <f>CONCATENATE(B226, " - ",C226)</f>
        <v/>
      </c>
    </row>
    <row r="227">
      <c r="A227" t="n">
        <v>37</v>
      </c>
      <c r="B227" t="inlineStr">
        <is>
          <t>TCD</t>
        </is>
      </c>
      <c r="C227" t="inlineStr">
        <is>
          <t>Čad</t>
        </is>
      </c>
      <c r="D227">
        <f>CONCATENATE(B227, " - ",C227)</f>
        <v/>
      </c>
    </row>
    <row r="228">
      <c r="A228" t="n">
        <v>221</v>
      </c>
      <c r="B228" t="inlineStr">
        <is>
          <t>TGO</t>
        </is>
      </c>
      <c r="C228" t="inlineStr">
        <is>
          <t>Togo</t>
        </is>
      </c>
      <c r="D228">
        <f>CONCATENATE(B228, " - ",C228)</f>
        <v/>
      </c>
    </row>
    <row r="229">
      <c r="A229" t="n">
        <v>219</v>
      </c>
      <c r="B229" t="inlineStr">
        <is>
          <t>THA</t>
        </is>
      </c>
      <c r="C229" t="inlineStr">
        <is>
          <t>Thajsko</t>
        </is>
      </c>
      <c r="D229">
        <f>CONCATENATE(B229, " - ",C229)</f>
        <v/>
      </c>
    </row>
    <row r="230">
      <c r="A230" t="n">
        <v>217</v>
      </c>
      <c r="B230" t="inlineStr">
        <is>
          <t>TJK</t>
        </is>
      </c>
      <c r="C230" t="inlineStr">
        <is>
          <t>Tádžikistán</t>
        </is>
      </c>
      <c r="D230">
        <f>CONCATENATE(B230, " - ",C230)</f>
        <v/>
      </c>
    </row>
    <row r="231">
      <c r="A231" t="n">
        <v>222</v>
      </c>
      <c r="B231" t="inlineStr">
        <is>
          <t>TKL</t>
        </is>
      </c>
      <c r="C231" t="inlineStr">
        <is>
          <t>Tokelau</t>
        </is>
      </c>
      <c r="D231">
        <f>CONCATENATE(B231, " - ",C231)</f>
        <v/>
      </c>
    </row>
    <row r="232">
      <c r="A232" t="n">
        <v>227</v>
      </c>
      <c r="B232" t="inlineStr">
        <is>
          <t>TKM</t>
        </is>
      </c>
      <c r="C232" t="inlineStr">
        <is>
          <t>Turkmenistán</t>
        </is>
      </c>
      <c r="D232">
        <f>CONCATENATE(B232, " - ",C232)</f>
        <v/>
      </c>
    </row>
    <row r="233">
      <c r="A233" t="n">
        <v>238</v>
      </c>
      <c r="B233" t="inlineStr">
        <is>
          <t>TLS</t>
        </is>
      </c>
      <c r="C233" t="inlineStr">
        <is>
          <t>Východní Timor</t>
        </is>
      </c>
      <c r="D233">
        <f>CONCATENATE(B233, " - ",C233)</f>
        <v/>
      </c>
    </row>
    <row r="234">
      <c r="A234" t="n">
        <v>223</v>
      </c>
      <c r="B234" t="inlineStr">
        <is>
          <t>TON</t>
        </is>
      </c>
      <c r="C234" t="inlineStr">
        <is>
          <t>Tonga</t>
        </is>
      </c>
      <c r="D234">
        <f>CONCATENATE(B234, " - ",C234)</f>
        <v/>
      </c>
    </row>
    <row r="235">
      <c r="A235" t="n">
        <v>224</v>
      </c>
      <c r="B235" t="inlineStr">
        <is>
          <t>TTO</t>
        </is>
      </c>
      <c r="C235" t="inlineStr">
        <is>
          <t>Trinidad a Tobago</t>
        </is>
      </c>
      <c r="D235">
        <f>CONCATENATE(B235, " - ",C235)</f>
        <v/>
      </c>
    </row>
    <row r="236">
      <c r="A236" t="n">
        <v>225</v>
      </c>
      <c r="B236" t="inlineStr">
        <is>
          <t>TUN</t>
        </is>
      </c>
      <c r="C236" t="inlineStr">
        <is>
          <t>Tunisko</t>
        </is>
      </c>
      <c r="D236">
        <f>CONCATENATE(B236, " - ",C236)</f>
        <v/>
      </c>
    </row>
    <row r="237">
      <c r="A237" t="n">
        <v>226</v>
      </c>
      <c r="B237" t="inlineStr">
        <is>
          <t>TUR</t>
        </is>
      </c>
      <c r="C237" t="inlineStr">
        <is>
          <t>Turecko</t>
        </is>
      </c>
      <c r="D237">
        <f>CONCATENATE(B237, " - ",C237)</f>
        <v/>
      </c>
    </row>
    <row r="238">
      <c r="A238" t="n">
        <v>229</v>
      </c>
      <c r="B238" t="inlineStr">
        <is>
          <t>TUV</t>
        </is>
      </c>
      <c r="C238" t="inlineStr">
        <is>
          <t>Tuvalu</t>
        </is>
      </c>
      <c r="D238">
        <f>CONCATENATE(B238, " - ",C238)</f>
        <v/>
      </c>
    </row>
    <row r="239">
      <c r="A239" t="n">
        <v>220</v>
      </c>
      <c r="B239" t="inlineStr">
        <is>
          <t>TWN</t>
        </is>
      </c>
      <c r="C239" t="inlineStr">
        <is>
          <t>Tchaj-wan</t>
        </is>
      </c>
      <c r="D239">
        <f>CONCATENATE(B239, " - ",C239)</f>
        <v/>
      </c>
    </row>
    <row r="240">
      <c r="A240" t="n">
        <v>218</v>
      </c>
      <c r="B240" t="inlineStr">
        <is>
          <t>TZA</t>
        </is>
      </c>
      <c r="C240" t="inlineStr">
        <is>
          <t>Tanzánie</t>
        </is>
      </c>
      <c r="D240">
        <f>CONCATENATE(B240, " - ",C240)</f>
        <v/>
      </c>
    </row>
    <row r="241">
      <c r="A241" t="n">
        <v>230</v>
      </c>
      <c r="B241" t="inlineStr">
        <is>
          <t>UGA</t>
        </is>
      </c>
      <c r="C241" t="inlineStr">
        <is>
          <t>Uganda</t>
        </is>
      </c>
      <c r="D241">
        <f>CONCATENATE(B241, " - ",C241)</f>
        <v/>
      </c>
    </row>
    <row r="242">
      <c r="A242" t="n">
        <v>231</v>
      </c>
      <c r="B242" t="inlineStr">
        <is>
          <t>UKR</t>
        </is>
      </c>
      <c r="C242" t="inlineStr">
        <is>
          <t>Ukrajina</t>
        </is>
      </c>
      <c r="D242">
        <f>CONCATENATE(B242, " - ",C242)</f>
        <v/>
      </c>
    </row>
    <row r="243">
      <c r="A243" t="n">
        <v>142</v>
      </c>
      <c r="B243" t="inlineStr">
        <is>
          <t>UMI</t>
        </is>
      </c>
      <c r="C243" t="inlineStr">
        <is>
          <t>Menší odlehlé ostrovy USA</t>
        </is>
      </c>
      <c r="D243">
        <f>CONCATENATE(B243, " - ",C243)</f>
        <v/>
      </c>
    </row>
    <row r="244">
      <c r="A244" t="n">
        <v>97</v>
      </c>
      <c r="B244" t="inlineStr">
        <is>
          <t>UNA</t>
        </is>
      </c>
      <c r="C244" t="inlineStr">
        <is>
          <t>Agentura spojených národů</t>
        </is>
      </c>
      <c r="D244">
        <f>CONCATENATE(B244, " - ",C244)</f>
        <v/>
      </c>
    </row>
    <row r="245">
      <c r="A245" t="n">
        <v>276</v>
      </c>
      <c r="B245" t="inlineStr">
        <is>
          <t>UNK</t>
        </is>
      </c>
      <c r="C245" t="inlineStr">
        <is>
          <t>Kosovo - státy EU neuznávaný</t>
        </is>
      </c>
      <c r="D245">
        <f>CONCATENATE(B245, " - ",C245)</f>
        <v/>
      </c>
    </row>
    <row r="246">
      <c r="A246" t="n">
        <v>259</v>
      </c>
      <c r="B246" t="inlineStr">
        <is>
          <t>UNO</t>
        </is>
      </c>
      <c r="C246" t="inlineStr">
        <is>
          <t>Organizace spojených národů</t>
        </is>
      </c>
      <c r="D246">
        <f>CONCATENATE(B246, " - ",C246)</f>
        <v/>
      </c>
    </row>
    <row r="247">
      <c r="A247" t="n">
        <v>232</v>
      </c>
      <c r="B247" t="inlineStr">
        <is>
          <t>URY</t>
        </is>
      </c>
      <c r="C247" t="inlineStr">
        <is>
          <t>Uruguay</t>
        </is>
      </c>
      <c r="D247">
        <f>CONCATENATE(B247, " - ",C247)</f>
        <v/>
      </c>
    </row>
    <row r="248">
      <c r="A248" t="n">
        <v>190</v>
      </c>
      <c r="B248" t="inlineStr">
        <is>
          <t>USA</t>
        </is>
      </c>
      <c r="C248" t="inlineStr">
        <is>
          <t>Spojené státy</t>
        </is>
      </c>
      <c r="D248">
        <f>CONCATENATE(B248, " - ",C248)</f>
        <v/>
      </c>
    </row>
    <row r="249">
      <c r="A249" t="n">
        <v>233</v>
      </c>
      <c r="B249" t="inlineStr">
        <is>
          <t>UZB</t>
        </is>
      </c>
      <c r="C249" t="inlineStr">
        <is>
          <t>Uzbekistán</t>
        </is>
      </c>
      <c r="D249">
        <f>CONCATENATE(B249, " - ",C249)</f>
        <v/>
      </c>
    </row>
    <row r="250">
      <c r="A250" t="n">
        <v>208</v>
      </c>
      <c r="B250" t="inlineStr">
        <is>
          <t>VAT</t>
        </is>
      </c>
      <c r="C250" t="inlineStr">
        <is>
          <t>Vatikán (Svatý stolec)</t>
        </is>
      </c>
      <c r="D250">
        <f>CONCATENATE(B250, " - ",C250)</f>
        <v/>
      </c>
    </row>
    <row r="251">
      <c r="A251" t="n">
        <v>210</v>
      </c>
      <c r="B251" t="inlineStr">
        <is>
          <t>VCT</t>
        </is>
      </c>
      <c r="C251" t="inlineStr">
        <is>
          <t>Svatý Vincenc a Grenadiny</t>
        </is>
      </c>
      <c r="D251">
        <f>CONCATENATE(B251, " - ",C251)</f>
        <v/>
      </c>
    </row>
    <row r="252">
      <c r="A252" t="n">
        <v>236</v>
      </c>
      <c r="B252" t="inlineStr">
        <is>
          <t>VEN</t>
        </is>
      </c>
      <c r="C252" t="inlineStr">
        <is>
          <t>Venezuela</t>
        </is>
      </c>
      <c r="D252">
        <f>CONCATENATE(B252, " - ",C252)</f>
        <v/>
      </c>
    </row>
    <row r="253">
      <c r="A253" t="n">
        <v>105</v>
      </c>
      <c r="B253" t="inlineStr">
        <is>
          <t>VGB</t>
        </is>
      </c>
      <c r="C253" t="inlineStr">
        <is>
          <t>Britské Panenské ostrovy</t>
        </is>
      </c>
      <c r="D253">
        <f>CONCATENATE(B253, " - ",C253)</f>
        <v/>
      </c>
    </row>
    <row r="254">
      <c r="A254" t="n">
        <v>5</v>
      </c>
      <c r="B254" t="inlineStr">
        <is>
          <t>VIR</t>
        </is>
      </c>
      <c r="C254" t="inlineStr">
        <is>
          <t>Americké Panenské ostrovy</t>
        </is>
      </c>
      <c r="D254">
        <f>CONCATENATE(B254, " - ",C254)</f>
        <v/>
      </c>
    </row>
    <row r="255">
      <c r="A255" t="n">
        <v>237</v>
      </c>
      <c r="B255" t="inlineStr">
        <is>
          <t>VNM</t>
        </is>
      </c>
      <c r="C255" t="inlineStr">
        <is>
          <t>Vietnam</t>
        </is>
      </c>
      <c r="D255">
        <f>CONCATENATE(B255, " - ",C255)</f>
        <v/>
      </c>
    </row>
    <row r="256">
      <c r="A256" t="n">
        <v>235</v>
      </c>
      <c r="B256" t="inlineStr">
        <is>
          <t>VUT</t>
        </is>
      </c>
      <c r="C256" t="inlineStr">
        <is>
          <t>Vanuatu</t>
        </is>
      </c>
      <c r="D256">
        <f>CONCATENATE(B256, " - ",C256)</f>
        <v/>
      </c>
    </row>
    <row r="257">
      <c r="A257" t="n">
        <v>239</v>
      </c>
      <c r="B257" t="inlineStr">
        <is>
          <t>WLF</t>
        </is>
      </c>
      <c r="C257" t="inlineStr">
        <is>
          <t>Wallis a Futuna</t>
        </is>
      </c>
      <c r="D257">
        <f>CONCATENATE(B257, " - ",C257)</f>
        <v/>
      </c>
    </row>
    <row r="258">
      <c r="A258" t="n">
        <v>180</v>
      </c>
      <c r="B258" t="inlineStr">
        <is>
          <t>WSM</t>
        </is>
      </c>
      <c r="C258" t="inlineStr">
        <is>
          <t>Samoa</t>
        </is>
      </c>
      <c r="D258">
        <f>CONCATENATE(B258, " - ",C258)</f>
        <v/>
      </c>
    </row>
    <row r="259">
      <c r="A259" t="n">
        <v>250</v>
      </c>
      <c r="B259" t="inlineStr">
        <is>
          <t>XEU</t>
        </is>
      </c>
      <c r="C259" t="inlineStr">
        <is>
          <t>Evropská unie</t>
        </is>
      </c>
      <c r="D259">
        <f>CONCATENATE(B259, " - ",C259)</f>
        <v/>
      </c>
    </row>
    <row r="260">
      <c r="A260" t="n">
        <v>251</v>
      </c>
      <c r="B260" t="inlineStr">
        <is>
          <t>XGG</t>
        </is>
      </c>
      <c r="C260" t="inlineStr">
        <is>
          <t>Guernsey</t>
        </is>
      </c>
      <c r="D260">
        <f>CONCATENATE(B260, " - ",C260)</f>
        <v/>
      </c>
    </row>
    <row r="261">
      <c r="A261" t="n">
        <v>252</v>
      </c>
      <c r="B261" t="inlineStr">
        <is>
          <t>XJE</t>
        </is>
      </c>
      <c r="C261" t="inlineStr">
        <is>
          <t>Jersey</t>
        </is>
      </c>
      <c r="D261">
        <f>CONCATENATE(B261, " - ",C261)</f>
        <v/>
      </c>
    </row>
    <row r="262">
      <c r="A262" t="n">
        <v>283</v>
      </c>
      <c r="B262" t="inlineStr">
        <is>
          <t>XKO</t>
        </is>
      </c>
      <c r="C262" t="inlineStr">
        <is>
          <t>Kosovo - archiv (do 11.2.2015)</t>
        </is>
      </c>
      <c r="D262">
        <f>CONCATENATE(B262, " - ",C262)</f>
        <v/>
      </c>
    </row>
    <row r="263">
      <c r="A263" t="n">
        <v>253</v>
      </c>
      <c r="B263" t="inlineStr">
        <is>
          <t>XMR</t>
        </is>
      </c>
      <c r="C263" t="inlineStr">
        <is>
          <t>Svrchovaný řád maltézských rytířů</t>
        </is>
      </c>
      <c r="D263">
        <f>CONCATENATE(B263, " - ",C263)</f>
        <v/>
      </c>
    </row>
    <row r="264">
      <c r="A264" t="n">
        <v>260</v>
      </c>
      <c r="B264" t="inlineStr">
        <is>
          <t>XXA</t>
        </is>
      </c>
      <c r="C264" t="inlineStr">
        <is>
          <t>osoba bez státní příslušnosti</t>
        </is>
      </c>
      <c r="D264">
        <f>CONCATENATE(B264, " - ",C264)</f>
        <v/>
      </c>
    </row>
    <row r="265">
      <c r="A265" t="n">
        <v>98</v>
      </c>
      <c r="B265" t="inlineStr">
        <is>
          <t>XXB</t>
        </is>
      </c>
      <c r="C265" t="inlineStr">
        <is>
          <t>uprchlík dle konvence  1951</t>
        </is>
      </c>
      <c r="D265">
        <f>CONCATENATE(B265, " - ",C265)</f>
        <v/>
      </c>
    </row>
    <row r="266">
      <c r="A266" t="n">
        <v>261</v>
      </c>
      <c r="B266" t="inlineStr">
        <is>
          <t>XXC</t>
        </is>
      </c>
      <c r="C266" t="inlineStr">
        <is>
          <t>uprchlík ostatní</t>
        </is>
      </c>
      <c r="D266">
        <f>CONCATENATE(B266, " - ",C266)</f>
        <v/>
      </c>
    </row>
    <row r="267">
      <c r="A267" t="n">
        <v>277</v>
      </c>
      <c r="B267" t="inlineStr">
        <is>
          <t>XXK</t>
        </is>
      </c>
      <c r="C267" t="inlineStr">
        <is>
          <t>Kosovo</t>
        </is>
      </c>
      <c r="D267">
        <f>CONCATENATE(B267, " - ",C267)</f>
        <v/>
      </c>
    </row>
    <row r="268">
      <c r="A268" t="n">
        <v>272</v>
      </c>
      <c r="B268" t="inlineStr">
        <is>
          <t>XXX</t>
        </is>
      </c>
      <c r="C268" t="inlineStr">
        <is>
          <t>neuvedený stát</t>
        </is>
      </c>
      <c r="D268">
        <f>CONCATENATE(B268, " - ",C268)</f>
        <v/>
      </c>
    </row>
    <row r="269">
      <c r="A269" t="n">
        <v>78</v>
      </c>
      <c r="B269" t="inlineStr">
        <is>
          <t>YEM</t>
        </is>
      </c>
      <c r="C269" t="inlineStr">
        <is>
          <t>Jemen</t>
        </is>
      </c>
      <c r="D269">
        <f>CONCATENATE(B269, " - ",C269)</f>
        <v/>
      </c>
    </row>
    <row r="270">
      <c r="A270" t="n">
        <v>79</v>
      </c>
      <c r="B270" t="inlineStr">
        <is>
          <t>ZAF</t>
        </is>
      </c>
      <c r="C270" t="inlineStr">
        <is>
          <t>Jihoafrická republika</t>
        </is>
      </c>
      <c r="D270">
        <f>CONCATENATE(B270, " - ",C270)</f>
        <v/>
      </c>
    </row>
    <row r="271">
      <c r="A271" t="n">
        <v>240</v>
      </c>
      <c r="B271" t="inlineStr">
        <is>
          <t>ZMB</t>
        </is>
      </c>
      <c r="C271" t="inlineStr">
        <is>
          <t>Zambie</t>
        </is>
      </c>
      <c r="D271">
        <f>CONCATENATE(B271, " - ",C271)</f>
        <v/>
      </c>
    </row>
    <row r="272">
      <c r="A272" t="n">
        <v>241</v>
      </c>
      <c r="B272" t="inlineStr">
        <is>
          <t>ZWE</t>
        </is>
      </c>
      <c r="C272" t="inlineStr">
        <is>
          <t>Zimbabwe</t>
        </is>
      </c>
      <c r="D272">
        <f>CONCATENATE(B272, " - ",C272)</f>
        <v/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87401575" right="0.787401575" top="0.984251969" bottom="0.984251969" header="0.4921259845" footer="0.4921259845"/>
  <pageSetup orientation="portrait" paperSize="9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C15"/>
  <sheetViews>
    <sheetView workbookViewId="0">
      <selection activeCell="B9" sqref="B9"/>
    </sheetView>
  </sheetViews>
  <sheetFormatPr baseColWidth="8" defaultRowHeight="12.75"/>
  <cols>
    <col width="3" bestFit="1" customWidth="1" min="1" max="1"/>
    <col width="32.85546875" bestFit="1" customWidth="1" min="2" max="2"/>
    <col hidden="1" width="36.7109375" customWidth="1" min="3" max="3"/>
  </cols>
  <sheetData>
    <row r="1">
      <c r="A1" t="inlineStr">
        <is>
          <t>00</t>
        </is>
      </c>
      <c r="B1" t="inlineStr">
        <is>
          <t>ZDRAVOTNÍ</t>
        </is>
      </c>
      <c r="C1">
        <f>CONCATENATE(A1, " - ",B1)</f>
        <v/>
      </c>
    </row>
    <row r="2">
      <c r="A2" t="inlineStr">
        <is>
          <t>01</t>
        </is>
      </c>
      <c r="B2" t="inlineStr">
        <is>
          <t>OBCHODNÍ</t>
        </is>
      </c>
      <c r="C2">
        <f>CONCATENATE(A2, " - ",B2)</f>
        <v/>
      </c>
    </row>
    <row r="3">
      <c r="A3" t="inlineStr">
        <is>
          <t>02</t>
        </is>
      </c>
      <c r="B3" t="inlineStr">
        <is>
          <t>KULTURNÍ</t>
        </is>
      </c>
      <c r="C3">
        <f>CONCATENATE(A3, " - ",B3)</f>
        <v/>
      </c>
    </row>
    <row r="4">
      <c r="A4" t="inlineStr">
        <is>
          <t>03</t>
        </is>
      </c>
      <c r="B4" t="inlineStr">
        <is>
          <t>NÁVŠTĚVA RODINY NEBO PŘÁTEL</t>
        </is>
      </c>
      <c r="C4">
        <f>CONCATENATE(A4, " - ",B4)</f>
        <v/>
      </c>
    </row>
    <row r="5">
      <c r="A5" t="inlineStr">
        <is>
          <t>04</t>
        </is>
      </c>
      <c r="B5" t="inlineStr">
        <is>
          <t>POZVÁNÍ</t>
        </is>
      </c>
      <c r="C5">
        <f>CONCATENATE(A5, " - ",B5)</f>
        <v/>
      </c>
    </row>
    <row r="6">
      <c r="A6" t="inlineStr">
        <is>
          <t>05</t>
        </is>
      </c>
      <c r="B6" t="inlineStr">
        <is>
          <t>OFICIÁLNÍ (POLITICKÝ)</t>
        </is>
      </c>
      <c r="C6">
        <f>CONCATENATE(A6, " - ",B6)</f>
        <v/>
      </c>
    </row>
    <row r="7">
      <c r="A7" t="inlineStr">
        <is>
          <t>06</t>
        </is>
      </c>
      <c r="B7" t="inlineStr">
        <is>
          <t>PODNIKÁNÍ - OSVČ</t>
        </is>
      </c>
      <c r="C7">
        <f>CONCATENATE(A7, " - ",B7)</f>
        <v/>
      </c>
    </row>
    <row r="8">
      <c r="A8" t="inlineStr">
        <is>
          <t>07</t>
        </is>
      </c>
      <c r="B8" t="inlineStr">
        <is>
          <t>SPORTOVNÍ</t>
        </is>
      </c>
      <c r="C8">
        <f>CONCATENATE(A8, " - ",B8)</f>
        <v/>
      </c>
    </row>
    <row r="9">
      <c r="A9" t="inlineStr">
        <is>
          <t>10</t>
        </is>
      </c>
      <c r="B9" t="inlineStr">
        <is>
          <t>TURISTIKA</t>
        </is>
      </c>
      <c r="C9">
        <f>CONCATENATE(A9, " - ",B9)</f>
        <v/>
      </c>
    </row>
    <row r="10">
      <c r="A10" t="inlineStr">
        <is>
          <t>11</t>
        </is>
      </c>
      <c r="B10" t="inlineStr">
        <is>
          <t>STUDIUM (ŠKOLENÍ, STÁŽ)</t>
        </is>
      </c>
      <c r="C10">
        <f>CONCATENATE(A10, " - ",B10)</f>
        <v/>
      </c>
    </row>
    <row r="11">
      <c r="A11" t="inlineStr">
        <is>
          <t>12</t>
        </is>
      </c>
      <c r="B11" t="inlineStr">
        <is>
          <t>TRANZIT (průjezd)</t>
        </is>
      </c>
      <c r="C11">
        <f>CONCATENATE(A11, " - ",B11)</f>
        <v/>
      </c>
    </row>
    <row r="12">
      <c r="A12" t="inlineStr">
        <is>
          <t>13</t>
        </is>
      </c>
      <c r="B12" t="inlineStr">
        <is>
          <t>LETIŠTNÍ TRANZIT (letištní průjezd)</t>
        </is>
      </c>
      <c r="C12">
        <f>CONCATENATE(A12, " - ",B12)</f>
        <v/>
      </c>
    </row>
    <row r="13">
      <c r="A13" t="inlineStr">
        <is>
          <t>27</t>
        </is>
      </c>
      <c r="B13" t="inlineStr">
        <is>
          <t>ZAMĚSTNÁNÍ</t>
        </is>
      </c>
      <c r="C13">
        <f>CONCATENATE(A13, " - ",B13)</f>
        <v/>
      </c>
    </row>
    <row r="14">
      <c r="A14" s="39" t="n">
        <v>93</v>
      </c>
      <c r="B14" t="inlineStr">
        <is>
          <t>Tzv. ADS vízum udělované občanu Číny</t>
        </is>
      </c>
      <c r="C14">
        <f>CONCATENATE(A14, " - ",B14)</f>
        <v/>
      </c>
    </row>
    <row r="15">
      <c r="A15" t="inlineStr">
        <is>
          <t>99</t>
        </is>
      </c>
      <c r="B15" t="inlineStr">
        <is>
          <t>OSTATNÍ / JINÉ</t>
        </is>
      </c>
      <c r="C15">
        <f>CONCATENATE(A15, " - ",B15)</f>
        <v/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HAL</dc:creator>
  <dc:title>UBYTOVANI - verze 19</dc:title>
  <dc:description>Podpora short date format ve Win8</dc:description>
  <dcterms:created xsi:type="dcterms:W3CDTF">1997-01-24T11:07:25Z</dcterms:created>
  <dcterms:modified xsi:type="dcterms:W3CDTF">2025-07-31T07:54:51Z</dcterms:modified>
  <cp:lastModifiedBy>HI, Recepce 6</cp:lastModifiedBy>
  <cp:lastPrinted>2024-06-30T18:47:21Z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AdHocReviewCycleID" fmtid="{D5CDD505-2E9C-101B-9397-08002B2CF9AE}" pid="2">
    <vt:i4>62691439</vt:i4>
  </property>
  <property name="_NewReviewCycle" fmtid="{D5CDD505-2E9C-101B-9397-08002B2CF9AE}" pid="3">
    <vt:lpwstr/>
  </property>
  <property name="_EmailSubject" fmtid="{D5CDD505-2E9C-101B-9397-08002B2CF9AE}" pid="4">
    <vt:lpwstr>Denisa</vt:lpwstr>
  </property>
  <property name="_AuthorEmail" fmtid="{D5CDD505-2E9C-101B-9397-08002B2CF9AE}" pid="5">
    <vt:lpwstr>martin.dolezal@holidayinn.cz</vt:lpwstr>
  </property>
  <property name="_AuthorEmailDisplayName" fmtid="{D5CDD505-2E9C-101B-9397-08002B2CF9AE}" pid="6">
    <vt:lpwstr>Martin Doležal</vt:lpwstr>
  </property>
  <property name="_ReviewingToolsShownOnce" fmtid="{D5CDD505-2E9C-101B-9397-08002B2CF9AE}" pid="7">
    <vt:lpwstr/>
  </property>
</Properties>
</file>